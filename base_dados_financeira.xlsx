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510" yWindow="570" windowWidth="14055" windowHeight="6090" activeTab="4"/>
  </bookViews>
  <sheets>
    <sheet name="Análise_categoria" sheetId="3" r:id="rId1"/>
    <sheet name="Forma_de_pagamentos" sheetId="5" r:id="rId2"/>
    <sheet name="Receita_x _despesa" sheetId="12" r:id="rId3"/>
    <sheet name="Dados" sheetId="1" r:id="rId4"/>
    <sheet name="Resumo" sheetId="2" r:id="rId5"/>
  </sheets>
  <definedNames>
    <definedName name="SegmentaçãodeDados_Tipo">#N/A</definedName>
  </definedNames>
  <calcPr calcId="144525"/>
  <pivotCaches>
    <pivotCache cacheId="35" r:id="rId6"/>
  </pivotCaches>
  <fileRecoveryPr repairLoad="1"/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E2" i="2" l="1"/>
  <c r="D2" i="2"/>
  <c r="B2" i="2"/>
  <c r="A2" i="2"/>
  <c r="C2" i="2" l="1"/>
</calcChain>
</file>

<file path=xl/sharedStrings.xml><?xml version="1.0" encoding="utf-8"?>
<sst xmlns="http://schemas.openxmlformats.org/spreadsheetml/2006/main" count="446" uniqueCount="45">
  <si>
    <t>Data</t>
  </si>
  <si>
    <t>Categoria</t>
  </si>
  <si>
    <t>Descrição</t>
  </si>
  <si>
    <t>Tipo</t>
  </si>
  <si>
    <t>Valor</t>
  </si>
  <si>
    <t>Forma de Pagamento</t>
  </si>
  <si>
    <t>Salários</t>
  </si>
  <si>
    <t>Pagamento de salários</t>
  </si>
  <si>
    <t>Despesa</t>
  </si>
  <si>
    <t>Cartão</t>
  </si>
  <si>
    <t>Vendas</t>
  </si>
  <si>
    <t>Vendas realizada</t>
  </si>
  <si>
    <t>Receita</t>
  </si>
  <si>
    <t>Marketing</t>
  </si>
  <si>
    <t>Pagamento de marketing</t>
  </si>
  <si>
    <t>Pix</t>
  </si>
  <si>
    <t>Serviços</t>
  </si>
  <si>
    <t>Serviços realizada</t>
  </si>
  <si>
    <t>Boleto</t>
  </si>
  <si>
    <t>Impostos</t>
  </si>
  <si>
    <t>Pagamento de impostos</t>
  </si>
  <si>
    <t>Transferência</t>
  </si>
  <si>
    <t>Transporte</t>
  </si>
  <si>
    <t>Pagamento de transporte</t>
  </si>
  <si>
    <t>Fornecedores</t>
  </si>
  <si>
    <t>Pagamento de fornecedores</t>
  </si>
  <si>
    <t>Aluguel</t>
  </si>
  <si>
    <t>Pagamento de aluguel</t>
  </si>
  <si>
    <t>Total de Receitas</t>
  </si>
  <si>
    <t>Total de Despesas</t>
  </si>
  <si>
    <t>Resultado Líquido</t>
  </si>
  <si>
    <t>Quantidade de Receitas</t>
  </si>
  <si>
    <t>Quantidade de Despesas</t>
  </si>
  <si>
    <t>Rótulos de Linha</t>
  </si>
  <si>
    <t>Total Geral</t>
  </si>
  <si>
    <t>Rótulos de Coluna</t>
  </si>
  <si>
    <t>Soma de Valor</t>
  </si>
  <si>
    <t>Soma valores</t>
  </si>
  <si>
    <t>Forma de pagamentos</t>
  </si>
  <si>
    <t>jan</t>
  </si>
  <si>
    <t>fev</t>
  </si>
  <si>
    <t>mar</t>
  </si>
  <si>
    <t>abr</t>
  </si>
  <si>
    <t>mai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</si>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</sst>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0" fontId="3" fillId="0" borderId="0" xfId="0" applyFont="1"/>
    <xf numFmtId="164" fontId="0" fillId="0" borderId="0" xfId="0" applyNumberFormat="1"/>
    <xf numFmtId="164" fontId="2" fillId="2" borderId="0" xfId="0" applyNumberFormat="1" applyFont="1" applyFill="1"/>
    <xf numFmtId="0" fontId="2" fillId="2" borderId="0" xfId="0" applyFont="1" applyFill="1"/>
    <xf numFmtId="164" fontId="0" fillId="2" borderId="0" xfId="0" applyNumberFormat="1" applyFill="1"/>
    <xf numFmtId="0" fontId="0" fillId="2" borderId="0" xfId="0" applyFill="1"/>
    <xf numFmtId="0" fontId="4" fillId="0" borderId="0" xfId="0" applyFont="1"/>
    <xf numFmtId="0" fontId="4" fillId="0" borderId="0" xfId="0" pivotButton="1" applyFont="1"/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165" fontId="5" fillId="0" borderId="0" xfId="0" applyNumberFormat="1" applyFont="1"/>
    <xf numFmtId="0" fontId="6" fillId="0" borderId="0" xfId="0" applyFont="1"/>
    <xf numFmtId="0" fontId="6" fillId="0" borderId="0" xfId="0" pivotButton="1" applyFont="1"/>
    <xf numFmtId="0" fontId="6" fillId="0" borderId="0" xfId="0" applyFont="1" applyAlignment="1">
      <alignment horizontal="left"/>
    </xf>
    <xf numFmtId="10" fontId="6" fillId="0" borderId="0" xfId="0" applyNumberFormat="1" applyFont="1"/>
    <xf numFmtId="14" fontId="4" fillId="0" borderId="0" xfId="0" applyNumberFormat="1" applyFont="1" applyAlignment="1">
      <alignment horizontal="left"/>
    </xf>
    <xf numFmtId="0" fontId="4" fillId="0" borderId="0" xfId="0" applyNumberFormat="1" applyFont="1"/>
  </cellXfs>
  <cellStyles count="2">
    <cellStyle name="Moeda" xfId="1" builtinId="4"/>
    <cellStyle name="Normal" xfId="0" builtinId="0"/>
  </cellStyles>
  <dxfs count="16">
    <dxf>
      <font>
        <sz val="14"/>
      </font>
    </dxf>
    <dxf>
      <font>
        <sz val="16"/>
      </font>
    </dxf>
    <dxf>
      <font>
        <sz val="18"/>
      </font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9" formatCode="dd/mm/yyyy"/>
    </dxf>
    <dxf>
      <fill>
        <patternFill>
          <bgColor rgb="FFFF0000"/>
        </patternFill>
      </fill>
    </dxf>
    <dxf>
      <fill>
        <patternFill>
          <bgColor rgb="FF10BC14"/>
        </patternFill>
      </fill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4" formatCode="&quot;R$&quot;\ #,##0.00"/>
    </dxf>
    <dxf>
      <font>
        <color theme="1" tint="0.499984740745262"/>
      </font>
    </dxf>
  </dxfs>
  <tableStyles count="4" defaultTableStyle="TableStyleMedium9" defaultPivotStyle="PivotStyleLight16">
    <tableStyle name="Estilo de Segmentação de Dados 1" pivot="0" table="0" count="0"/>
    <tableStyle name="Estilo de Segmentação de Dados 2" pivot="0" table="0" count="0"/>
    <tableStyle name="Estilo de Segmentação de Dados 3" pivot="0" table="0" count="0"/>
    <tableStyle name="Estilo de Segmentação de Dados 4" pivot="0" table="0" count="1">
      <tableStyleElement type="wholeTable" dxfId="15"/>
    </tableStyle>
  </tableStyles>
  <colors>
    <mruColors>
      <color rgb="FF10BC14"/>
    </mruColors>
  </colors>
  <extLst>
    <ext xmlns:x14="http://schemas.microsoft.com/office/spreadsheetml/2009/9/main" uri="{EB79DEF2-80B8-43e5-95BD-54CBDDF9020C}">
      <x14:slicerStyles defaultSlicerStyle="Estilo de Segmentação de Dados 2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</x14:slicer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[base_dados_financeira.xlsx]Análise_categoria!Tabela dinâmica1</c:name>
    <c:fmtId val="2"/>
  </c:pivotSource>
  <c:chart>
    <c:autoTitleDeleted val="0"/>
    <c:pivotFmts>
      <c:pivotFmt>
        <c:idx val="0"/>
        <c:spPr>
          <a:solidFill>
            <a:schemeClr val="accent6">
              <a:lumMod val="75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100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spPr>
          <a:solidFill>
            <a:srgbClr val="00B050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100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0.15952385072745029"/>
          <c:y val="0.11139658759021706"/>
          <c:w val="0.70274114173228341"/>
          <c:h val="0.86446255483483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Análise_categoria!$M$6:$M$7</c:f>
              <c:strCache>
                <c:ptCount val="1"/>
                <c:pt idx="0">
                  <c:v>Despesa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/>
            <c:txPr>
              <a:bodyPr/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Análise_categoria!$L$8:$L$15</c:f>
              <c:strCache>
                <c:ptCount val="7"/>
                <c:pt idx="0">
                  <c:v>Serviços</c:v>
                </c:pt>
                <c:pt idx="1">
                  <c:v>Vendas</c:v>
                </c:pt>
                <c:pt idx="2">
                  <c:v>Marketing</c:v>
                </c:pt>
                <c:pt idx="3">
                  <c:v>Salários</c:v>
                </c:pt>
                <c:pt idx="4">
                  <c:v>Impostos</c:v>
                </c:pt>
                <c:pt idx="5">
                  <c:v>Transporte</c:v>
                </c:pt>
                <c:pt idx="6">
                  <c:v>Fornecedores</c:v>
                </c:pt>
              </c:strCache>
            </c:strRef>
          </c:cat>
          <c:val>
            <c:numRef>
              <c:f>Análise_categoria!$M$8:$M$15</c:f>
              <c:numCache>
                <c:formatCode>_-[$R$-416]\ * #,##0.00_-;\-[$R$-416]\ * #,##0.00_-;_-[$R$-416]\ * "-"??_-;_-@_-</c:formatCode>
                <c:ptCount val="7"/>
                <c:pt idx="2">
                  <c:v>15559.619999999997</c:v>
                </c:pt>
                <c:pt idx="3">
                  <c:v>15406.8</c:v>
                </c:pt>
                <c:pt idx="4">
                  <c:v>9886.130000000001</c:v>
                </c:pt>
                <c:pt idx="5">
                  <c:v>8444.44</c:v>
                </c:pt>
                <c:pt idx="6">
                  <c:v>7887.71</c:v>
                </c:pt>
              </c:numCache>
            </c:numRef>
          </c:val>
        </c:ser>
        <c:ser>
          <c:idx val="1"/>
          <c:order val="1"/>
          <c:tx>
            <c:strRef>
              <c:f>Análise_categoria!$N$6:$N$7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/>
            <c:txPr>
              <a:bodyPr/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Análise_categoria!$L$8:$L$15</c:f>
              <c:strCache>
                <c:ptCount val="7"/>
                <c:pt idx="0">
                  <c:v>Serviços</c:v>
                </c:pt>
                <c:pt idx="1">
                  <c:v>Vendas</c:v>
                </c:pt>
                <c:pt idx="2">
                  <c:v>Marketing</c:v>
                </c:pt>
                <c:pt idx="3">
                  <c:v>Salários</c:v>
                </c:pt>
                <c:pt idx="4">
                  <c:v>Impostos</c:v>
                </c:pt>
                <c:pt idx="5">
                  <c:v>Transporte</c:v>
                </c:pt>
                <c:pt idx="6">
                  <c:v>Fornecedores</c:v>
                </c:pt>
              </c:strCache>
            </c:strRef>
          </c:cat>
          <c:val>
            <c:numRef>
              <c:f>Análise_categoria!$N$8:$N$15</c:f>
              <c:numCache>
                <c:formatCode>_-[$R$-416]\ * #,##0.00_-;\-[$R$-416]\ * #,##0.00_-;_-[$R$-416]\ * "-"??_-;_-@_-</c:formatCode>
                <c:ptCount val="7"/>
                <c:pt idx="0">
                  <c:v>96197.049999999974</c:v>
                </c:pt>
                <c:pt idx="1">
                  <c:v>76950.659999999989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99727744"/>
        <c:axId val="199750016"/>
      </c:barChart>
      <c:catAx>
        <c:axId val="199727744"/>
        <c:scaling>
          <c:orientation val="minMax"/>
        </c:scaling>
        <c:delete val="0"/>
        <c:axPos val="l"/>
        <c:majorTickMark val="none"/>
        <c:minorTickMark val="none"/>
        <c:tickLblPos val="nextTo"/>
        <c:crossAx val="199750016"/>
        <c:crosses val="autoZero"/>
        <c:auto val="1"/>
        <c:lblAlgn val="ctr"/>
        <c:lblOffset val="100"/>
        <c:noMultiLvlLbl val="0"/>
      </c:catAx>
      <c:valAx>
        <c:axId val="19975001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600"/>
                  <a:t>Análise</a:t>
                </a:r>
                <a:r>
                  <a:rPr lang="pt-BR" sz="1600" baseline="0"/>
                  <a:t> de Receita e Despesas por Categoria Jan a Jun/2024</a:t>
                </a:r>
                <a:endParaRPr lang="pt-BR" sz="1600"/>
              </a:p>
            </c:rich>
          </c:tx>
          <c:layout>
            <c:manualLayout>
              <c:xMode val="edge"/>
              <c:yMode val="edge"/>
              <c:x val="0.1010834829537829"/>
              <c:y val="1.6708978188071318E-2"/>
            </c:manualLayout>
          </c:layout>
          <c:overlay val="0"/>
        </c:title>
        <c:numFmt formatCode="_-[$R$-416]\ * #,##0.00_-;\-[$R$-416]\ * #,##0.00_-;_-[$R$-416]\ * &quot;-&quot;??_-;_-@_-" sourceLinked="1"/>
        <c:majorTickMark val="out"/>
        <c:minorTickMark val="none"/>
        <c:tickLblPos val="nextTo"/>
        <c:crossAx val="199727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[base_dados_financeira.xlsx]Forma_de_pagamentos!Tabela dinâmica1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Forma</a:t>
            </a:r>
            <a:r>
              <a:rPr lang="en-US" baseline="0"/>
              <a:t> de Pagamentos</a:t>
            </a:r>
            <a:endParaRPr lang="en-US"/>
          </a:p>
        </c:rich>
      </c:tx>
      <c:layout>
        <c:manualLayout>
          <c:xMode val="edge"/>
          <c:yMode val="edge"/>
          <c:x val="0.28286111111111112"/>
          <c:y val="4.1666666666666664E-2"/>
        </c:manualLayout>
      </c:layout>
      <c:overlay val="0"/>
    </c:title>
    <c:autoTitleDeleted val="0"/>
    <c:pivotFmts>
      <c:pivotFmt>
        <c:idx val="0"/>
        <c:spPr>
          <a:solidFill>
            <a:schemeClr val="accent5">
              <a:lumMod val="50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1100"/>
              </a:pPr>
              <a:endParaRPr lang="pt-BR"/>
            </a:p>
          </c:txPr>
          <c:showLegendKey val="0"/>
          <c:showVal val="0"/>
          <c:showCatName val="1"/>
          <c:showSerName val="0"/>
          <c:showPercent val="0"/>
          <c:showBubbleSize val="0"/>
        </c:dLbl>
      </c:pivotFmt>
      <c:pivotFmt>
        <c:idx val="1"/>
        <c:spPr>
          <a:solidFill>
            <a:schemeClr val="accent2"/>
          </a:solidFill>
        </c:spPr>
        <c:dLbl>
          <c:idx val="0"/>
          <c:layout/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</c:spPr>
        <c:dLbl>
          <c:idx val="0"/>
          <c:layout/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3"/>
        <c:spPr>
          <a:solidFill>
            <a:srgbClr val="00B050"/>
          </a:solidFill>
        </c:spPr>
        <c:dLbl>
          <c:idx val="0"/>
          <c:layout/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</c:spPr>
        <c:dLbl>
          <c:idx val="0"/>
          <c:layout/>
          <c:showLegendKey val="0"/>
          <c:showVal val="1"/>
          <c:showCatName val="1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26125437445319333"/>
          <c:y val="0.20156969962088075"/>
          <c:w val="0.44971369203849521"/>
          <c:h val="0.7495228200641586"/>
        </c:manualLayout>
      </c:layout>
      <c:pieChart>
        <c:varyColors val="1"/>
        <c:ser>
          <c:idx val="0"/>
          <c:order val="0"/>
          <c:tx>
            <c:strRef>
              <c:f>Forma_de_pagamentos!$B$3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rgbClr val="00B050"/>
              </a:solidFill>
            </c:spPr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Lbls>
            <c:dLbl>
              <c:idx val="0"/>
              <c:layout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layout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2"/>
              <c:layout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3"/>
              <c:layout/>
              <c:showLegendKey val="0"/>
              <c:showVal val="1"/>
              <c:showCatName val="1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Forma_de_pagamentos!$A$4:$A$8</c:f>
              <c:strCache>
                <c:ptCount val="4"/>
                <c:pt idx="0">
                  <c:v>Boleto</c:v>
                </c:pt>
                <c:pt idx="1">
                  <c:v>Cartão</c:v>
                </c:pt>
                <c:pt idx="2">
                  <c:v>Pix</c:v>
                </c:pt>
                <c:pt idx="3">
                  <c:v>Transferência</c:v>
                </c:pt>
              </c:strCache>
            </c:strRef>
          </c:cat>
          <c:val>
            <c:numRef>
              <c:f>Forma_de_pagamentos!$B$4:$B$8</c:f>
              <c:numCache>
                <c:formatCode>0.00%</c:formatCode>
                <c:ptCount val="4"/>
                <c:pt idx="0">
                  <c:v>0.38918429605099841</c:v>
                </c:pt>
                <c:pt idx="1">
                  <c:v>0.2167220218675189</c:v>
                </c:pt>
                <c:pt idx="2">
                  <c:v>0.17740738965335623</c:v>
                </c:pt>
                <c:pt idx="3">
                  <c:v>0.21668629242812651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[base_dados_financeira.xlsx]Receita_x _despesa!Tabela dinâmica6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Receita x Despesa 2024</a:t>
            </a:r>
          </a:p>
        </c:rich>
      </c:tx>
      <c:layout/>
      <c:overlay val="0"/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</c:spPr>
        <c:marker>
          <c:symbol val="none"/>
        </c:marker>
        <c:dLbl>
          <c:idx val="0"/>
          <c:layout/>
          <c:numFmt formatCode="&quot;R$&quot;\ #,##0.00" sourceLinked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spPr>
          <a:solidFill>
            <a:srgbClr val="00B050"/>
          </a:solidFill>
        </c:spPr>
        <c:marker>
          <c:symbol val="none"/>
        </c:marker>
        <c:dLbl>
          <c:idx val="0"/>
          <c:layout/>
          <c:numFmt formatCode="&quot;R$&quot;\ #,##0.00" sourceLinked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9.5821556507390979E-2"/>
          <c:y val="0.15541111377698286"/>
          <c:w val="0.76313695315772823"/>
          <c:h val="0.752062003329916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'Receita_x _despesa'!$B$3:$B$4</c:f>
              <c:strCache>
                <c:ptCount val="1"/>
                <c:pt idx="0">
                  <c:v>Despesa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numFmt formatCode="&quot;R$&quot;\ #,##0.00" sourceLinked="0"/>
            <c:spPr/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'Receita_x _despesa'!$A$5:$A$11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'Receita_x _despesa'!$B$5:$B$11</c:f>
              <c:numCache>
                <c:formatCode>General</c:formatCode>
                <c:ptCount val="6"/>
                <c:pt idx="0">
                  <c:v>15532.320000000002</c:v>
                </c:pt>
                <c:pt idx="1">
                  <c:v>12714.72</c:v>
                </c:pt>
                <c:pt idx="2">
                  <c:v>8040.32</c:v>
                </c:pt>
                <c:pt idx="3">
                  <c:v>5552.2999999999993</c:v>
                </c:pt>
                <c:pt idx="4">
                  <c:v>3085.75</c:v>
                </c:pt>
                <c:pt idx="5">
                  <c:v>17866.77</c:v>
                </c:pt>
              </c:numCache>
            </c:numRef>
          </c:val>
        </c:ser>
        <c:ser>
          <c:idx val="1"/>
          <c:order val="1"/>
          <c:tx>
            <c:strRef>
              <c:f>'Receita_x _despesa'!$C$3:$C$4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numFmt formatCode="&quot;R$&quot;\ #,##0.00" sourceLinked="0"/>
            <c:spPr/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'Receita_x _despesa'!$A$5:$A$11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'Receita_x _despesa'!$C$5:$C$11</c:f>
              <c:numCache>
                <c:formatCode>General</c:formatCode>
                <c:ptCount val="6"/>
                <c:pt idx="0">
                  <c:v>32501.14</c:v>
                </c:pt>
                <c:pt idx="1">
                  <c:v>16631.759999999998</c:v>
                </c:pt>
                <c:pt idx="2">
                  <c:v>51924.87999999999</c:v>
                </c:pt>
                <c:pt idx="3">
                  <c:v>36279.260000000009</c:v>
                </c:pt>
                <c:pt idx="4">
                  <c:v>6816.93</c:v>
                </c:pt>
                <c:pt idx="5">
                  <c:v>28993.739999999998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516032"/>
        <c:axId val="143518336"/>
      </c:barChart>
      <c:dateAx>
        <c:axId val="14351603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crossAx val="143518336"/>
        <c:crosses val="autoZero"/>
        <c:auto val="0"/>
        <c:lblOffset val="100"/>
        <c:baseTimeUnit val="days"/>
      </c:dateAx>
      <c:valAx>
        <c:axId val="143518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35160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456140</xdr:colOff>
      <xdr:row>1</xdr:row>
      <xdr:rowOff>137583</xdr:rowOff>
    </xdr:from>
    <xdr:to>
      <xdr:col>7</xdr:col>
      <xdr:colOff>476249</xdr:colOff>
      <xdr:row>24</xdr:row>
      <xdr:rowOff>157692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484717</xdr:colOff>
      <xdr:row>1</xdr:row>
      <xdr:rowOff>131232</xdr:rowOff>
    </xdr:from>
    <xdr:to>
      <xdr:col>10</xdr:col>
      <xdr:colOff>484717</xdr:colOff>
      <xdr:row>24</xdr:row>
      <xdr:rowOff>148166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ip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23592" y="321732"/>
              <a:ext cx="1821656" cy="48746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slicer. Os slicers podem ser usados, no mínimo, no Excel 2010.
Caso a forma tenha sido modificada em uma versão anterior do Excel, ou a pasta de trabalho tenha sido salva no Excel 2003 ou
anterior, o slicer não poderá ser usado.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190500</xdr:rowOff>
    </xdr:from>
    <xdr:to>
      <xdr:col>8</xdr:col>
      <xdr:colOff>190500</xdr:colOff>
      <xdr:row>16</xdr:row>
      <xdr:rowOff>66675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0</xdr:row>
      <xdr:rowOff>152399</xdr:rowOff>
    </xdr:from>
    <xdr:to>
      <xdr:col>14</xdr:col>
      <xdr:colOff>314325</xdr:colOff>
      <xdr:row>18</xdr:row>
      <xdr:rowOff>161924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ine S Souza" refreshedDate="46151.556507407404" createdVersion="4" refreshedVersion="4" minRefreshableVersion="3" recordCount="100">
  <cacheSource type="worksheet">
    <worksheetSource name="tb_financeiro"/>
  </cacheSource>
  <cacheFields count="7">
    <cacheField name="Data" numFmtId="14">
      <sharedItems containsSemiMixedTypes="0" containsNonDate="0" containsDate="1" containsString="0" minDate="2024-01-01T00:00:00" maxDate="2024-06-29T00:00:00" count="79">
        <d v="2024-04-26T00:00:00"/>
        <d v="2024-02-20T00:00:00"/>
        <d v="2024-02-21T00:00:00"/>
        <d v="2024-03-24T00:00:00"/>
        <d v="2024-04-03T00:00:00"/>
        <d v="2024-06-27T00:00:00"/>
        <d v="2024-06-05T00:00:00"/>
        <d v="2024-02-08T00:00:00"/>
        <d v="2024-03-26T00:00:00"/>
        <d v="2024-01-22T00:00:00"/>
        <d v="2024-03-22T00:00:00"/>
        <d v="2024-01-31T00:00:00"/>
        <d v="2024-02-03T00:00:00"/>
        <d v="2024-01-24T00:00:00"/>
        <d v="2024-04-13T00:00:00"/>
        <d v="2024-01-01T00:00:00"/>
        <d v="2024-03-06T00:00:00"/>
        <d v="2024-06-28T00:00:00"/>
        <d v="2024-04-25T00:00:00"/>
        <d v="2024-03-29T00:00:00"/>
        <d v="2024-01-03T00:00:00"/>
        <d v="2024-03-12T00:00:00"/>
        <d v="2024-01-18T00:00:00"/>
        <d v="2024-06-23T00:00:00"/>
        <d v="2024-02-10T00:00:00"/>
        <d v="2024-01-19T00:00:00"/>
        <d v="2024-06-15T00:00:00"/>
        <d v="2024-01-20T00:00:00"/>
        <d v="2024-02-11T00:00:00"/>
        <d v="2024-03-20T00:00:00"/>
        <d v="2024-03-23T00:00:00"/>
        <d v="2024-03-30T00:00:00"/>
        <d v="2024-04-20T00:00:00"/>
        <d v="2024-05-09T00:00:00"/>
        <d v="2024-01-05T00:00:00"/>
        <d v="2024-02-15T00:00:00"/>
        <d v="2024-01-11T00:00:00"/>
        <d v="2024-04-01T00:00:00"/>
        <d v="2024-04-05T00:00:00"/>
        <d v="2024-06-06T00:00:00"/>
        <d v="2024-03-27T00:00:00"/>
        <d v="2024-01-17T00:00:00"/>
        <d v="2024-02-13T00:00:00"/>
        <d v="2024-04-02T00:00:00"/>
        <d v="2024-06-20T00:00:00"/>
        <d v="2024-06-11T00:00:00"/>
        <d v="2024-03-04T00:00:00"/>
        <d v="2024-04-17T00:00:00"/>
        <d v="2024-03-14T00:00:00"/>
        <d v="2024-04-29T00:00:00"/>
        <d v="2024-04-27T00:00:00"/>
        <d v="2024-05-17T00:00:00"/>
        <d v="2024-05-03T00:00:00"/>
        <d v="2024-03-25T00:00:00"/>
        <d v="2024-01-26T00:00:00"/>
        <d v="2024-01-16T00:00:00"/>
        <d v="2024-06-25T00:00:00"/>
        <d v="2024-01-10T00:00:00"/>
        <d v="2024-04-19T00:00:00"/>
        <d v="2024-06-13T00:00:00"/>
        <d v="2024-02-12T00:00:00"/>
        <d v="2024-03-05T00:00:00"/>
        <d v="2024-04-22T00:00:00"/>
        <d v="2024-06-02T00:00:00"/>
        <d v="2024-01-21T00:00:00"/>
        <d v="2024-05-08T00:00:00"/>
        <d v="2024-03-18T00:00:00"/>
        <d v="2024-06-14T00:00:00"/>
        <d v="2024-02-02T00:00:00"/>
        <d v="2024-02-28T00:00:00"/>
        <d v="2024-02-17T00:00:00"/>
        <d v="2024-02-04T00:00:00"/>
        <d v="2024-06-19T00:00:00"/>
        <d v="2024-06-10T00:00:00"/>
        <d v="2024-06-26T00:00:00"/>
        <d v="2024-01-06T00:00:00"/>
        <d v="2024-03-02T00:00:00"/>
        <d v="2024-01-04T00:00:00"/>
        <d v="2024-02-22T00:00:00"/>
      </sharedItems>
      <fieldGroup base="0">
        <rangePr groupBy="months" startDate="2024-01-01T00:00:00" endDate="2024-06-29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06/2024"/>
        </groupItems>
      </fieldGroup>
    </cacheField>
    <cacheField name="Categoria" numFmtId="0">
      <sharedItems count="8">
        <s v="Salários"/>
        <s v="Vendas"/>
        <s v="Marketing"/>
        <s v="Serviços"/>
        <s v="Impostos"/>
        <s v="Transporte"/>
        <s v="Fornecedores"/>
        <s v="Aluguel"/>
      </sharedItems>
    </cacheField>
    <cacheField name="Descrição" numFmtId="0">
      <sharedItems/>
    </cacheField>
    <cacheField name="Tipo" numFmtId="0">
      <sharedItems count="2">
        <s v="Despesa"/>
        <s v="Receita"/>
      </sharedItems>
    </cacheField>
    <cacheField name="Valor" numFmtId="164">
      <sharedItems containsSemiMixedTypes="0" containsString="0" containsNumber="1" minValue="100.42" maxValue="4928.3"/>
    </cacheField>
    <cacheField name="Forma de Pagamento" numFmtId="0">
      <sharedItems count="4">
        <s v="Cartão"/>
        <s v="Pix"/>
        <s v="Boleto"/>
        <s v="Transferência"/>
      </sharedItems>
    </cacheField>
    <cacheField name="Campo1" numFmtId="0" formula=" 0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s v="Pagamento de salários"/>
    <x v="0"/>
    <n v="2522.91"/>
    <x v="0"/>
  </r>
  <r>
    <x v="1"/>
    <x v="1"/>
    <s v="Vendas realizada"/>
    <x v="1"/>
    <n v="4291.37"/>
    <x v="0"/>
  </r>
  <r>
    <x v="2"/>
    <x v="2"/>
    <s v="Pagamento de marketing"/>
    <x v="0"/>
    <n v="1085.8900000000001"/>
    <x v="1"/>
  </r>
  <r>
    <x v="3"/>
    <x v="3"/>
    <s v="Serviços realizada"/>
    <x v="1"/>
    <n v="2360.25"/>
    <x v="2"/>
  </r>
  <r>
    <x v="4"/>
    <x v="1"/>
    <s v="Vendas realizada"/>
    <x v="1"/>
    <n v="3931.31"/>
    <x v="1"/>
  </r>
  <r>
    <x v="5"/>
    <x v="4"/>
    <s v="Pagamento de impostos"/>
    <x v="0"/>
    <n v="1131.8900000000001"/>
    <x v="3"/>
  </r>
  <r>
    <x v="6"/>
    <x v="1"/>
    <s v="Vendas realizada"/>
    <x v="1"/>
    <n v="2489.9699999999998"/>
    <x v="3"/>
  </r>
  <r>
    <x v="1"/>
    <x v="1"/>
    <s v="Vendas realizada"/>
    <x v="1"/>
    <n v="3630.34"/>
    <x v="2"/>
  </r>
  <r>
    <x v="7"/>
    <x v="4"/>
    <s v="Pagamento de impostos"/>
    <x v="0"/>
    <n v="818.44"/>
    <x v="0"/>
  </r>
  <r>
    <x v="8"/>
    <x v="3"/>
    <s v="Serviços realizada"/>
    <x v="1"/>
    <n v="2687.84"/>
    <x v="1"/>
  </r>
  <r>
    <x v="9"/>
    <x v="0"/>
    <s v="Pagamento de salários"/>
    <x v="0"/>
    <n v="1916.38"/>
    <x v="1"/>
  </r>
  <r>
    <x v="10"/>
    <x v="1"/>
    <s v="Vendas realizada"/>
    <x v="1"/>
    <n v="4857.45"/>
    <x v="2"/>
  </r>
  <r>
    <x v="11"/>
    <x v="2"/>
    <s v="Pagamento de marketing"/>
    <x v="0"/>
    <n v="1333.69"/>
    <x v="0"/>
  </r>
  <r>
    <x v="12"/>
    <x v="0"/>
    <s v="Pagamento de salários"/>
    <x v="0"/>
    <n v="1310.44"/>
    <x v="3"/>
  </r>
  <r>
    <x v="13"/>
    <x v="5"/>
    <s v="Pagamento de transporte"/>
    <x v="0"/>
    <n v="2801.22"/>
    <x v="0"/>
  </r>
  <r>
    <x v="14"/>
    <x v="3"/>
    <s v="Serviços realizada"/>
    <x v="1"/>
    <n v="4928.3"/>
    <x v="0"/>
  </r>
  <r>
    <x v="15"/>
    <x v="6"/>
    <s v="Pagamento de fornecedores"/>
    <x v="0"/>
    <n v="2147.86"/>
    <x v="3"/>
  </r>
  <r>
    <x v="16"/>
    <x v="1"/>
    <s v="Vendas realizada"/>
    <x v="1"/>
    <n v="4712.21"/>
    <x v="3"/>
  </r>
  <r>
    <x v="17"/>
    <x v="1"/>
    <s v="Vendas realizada"/>
    <x v="1"/>
    <n v="2900.34"/>
    <x v="0"/>
  </r>
  <r>
    <x v="18"/>
    <x v="3"/>
    <s v="Serviços realizada"/>
    <x v="1"/>
    <n v="3903.69"/>
    <x v="3"/>
  </r>
  <r>
    <x v="19"/>
    <x v="3"/>
    <s v="Serviços realizada"/>
    <x v="1"/>
    <n v="3101.92"/>
    <x v="3"/>
  </r>
  <r>
    <x v="20"/>
    <x v="3"/>
    <s v="Serviços realizada"/>
    <x v="1"/>
    <n v="1261.4000000000001"/>
    <x v="1"/>
  </r>
  <r>
    <x v="21"/>
    <x v="4"/>
    <s v="Pagamento de impostos"/>
    <x v="0"/>
    <n v="354.95"/>
    <x v="1"/>
  </r>
  <r>
    <x v="22"/>
    <x v="2"/>
    <s v="Pagamento de marketing"/>
    <x v="0"/>
    <n v="152.79"/>
    <x v="1"/>
  </r>
  <r>
    <x v="23"/>
    <x v="4"/>
    <s v="Pagamento de impostos"/>
    <x v="0"/>
    <n v="2639.82"/>
    <x v="3"/>
  </r>
  <r>
    <x v="24"/>
    <x v="2"/>
    <s v="Pagamento de marketing"/>
    <x v="0"/>
    <n v="477.31"/>
    <x v="1"/>
  </r>
  <r>
    <x v="25"/>
    <x v="0"/>
    <s v="Pagamento de salários"/>
    <x v="0"/>
    <n v="2234.2800000000002"/>
    <x v="2"/>
  </r>
  <r>
    <x v="26"/>
    <x v="5"/>
    <s v="Pagamento de transporte"/>
    <x v="0"/>
    <n v="2833.62"/>
    <x v="0"/>
  </r>
  <r>
    <x v="27"/>
    <x v="4"/>
    <s v="Pagamento de impostos"/>
    <x v="0"/>
    <n v="1305.27"/>
    <x v="2"/>
  </r>
  <r>
    <x v="28"/>
    <x v="7"/>
    <s v="Pagamento de aluguel"/>
    <x v="0"/>
    <n v="812.81"/>
    <x v="2"/>
  </r>
  <r>
    <x v="29"/>
    <x v="3"/>
    <s v="Serviços realizada"/>
    <x v="1"/>
    <n v="3917.41"/>
    <x v="2"/>
  </r>
  <r>
    <x v="30"/>
    <x v="2"/>
    <s v="Pagamento de marketing"/>
    <x v="0"/>
    <n v="1149.76"/>
    <x v="2"/>
  </r>
  <r>
    <x v="31"/>
    <x v="2"/>
    <s v="Pagamento de marketing"/>
    <x v="0"/>
    <n v="2077.33"/>
    <x v="1"/>
  </r>
  <r>
    <x v="32"/>
    <x v="3"/>
    <s v="Serviços realizada"/>
    <x v="1"/>
    <n v="1680.93"/>
    <x v="2"/>
  </r>
  <r>
    <x v="33"/>
    <x v="7"/>
    <s v="Pagamento de aluguel"/>
    <x v="0"/>
    <n v="1627.93"/>
    <x v="1"/>
  </r>
  <r>
    <x v="34"/>
    <x v="3"/>
    <s v="Serviços realizada"/>
    <x v="1"/>
    <n v="538.97"/>
    <x v="2"/>
  </r>
  <r>
    <x v="35"/>
    <x v="2"/>
    <s v="Pagamento de marketing"/>
    <x v="0"/>
    <n v="1824.94"/>
    <x v="2"/>
  </r>
  <r>
    <x v="36"/>
    <x v="1"/>
    <s v="Vendas realizada"/>
    <x v="1"/>
    <n v="4453.43"/>
    <x v="2"/>
  </r>
  <r>
    <x v="37"/>
    <x v="3"/>
    <s v="Serviços realizada"/>
    <x v="1"/>
    <n v="4623.9399999999996"/>
    <x v="2"/>
  </r>
  <r>
    <x v="38"/>
    <x v="3"/>
    <s v="Serviços realizada"/>
    <x v="1"/>
    <n v="4099.07"/>
    <x v="2"/>
  </r>
  <r>
    <x v="13"/>
    <x v="1"/>
    <s v="Vendas realizada"/>
    <x v="1"/>
    <n v="1577.66"/>
    <x v="0"/>
  </r>
  <r>
    <x v="39"/>
    <x v="0"/>
    <s v="Pagamento de salários"/>
    <x v="0"/>
    <n v="2943.9"/>
    <x v="2"/>
  </r>
  <r>
    <x v="30"/>
    <x v="3"/>
    <s v="Serviços realizada"/>
    <x v="1"/>
    <n v="4893.3999999999996"/>
    <x v="2"/>
  </r>
  <r>
    <x v="40"/>
    <x v="3"/>
    <s v="Serviços realizada"/>
    <x v="1"/>
    <n v="1416.5"/>
    <x v="3"/>
  </r>
  <r>
    <x v="41"/>
    <x v="3"/>
    <s v="Serviços realizada"/>
    <x v="1"/>
    <n v="1511.75"/>
    <x v="3"/>
  </r>
  <r>
    <x v="42"/>
    <x v="0"/>
    <s v="Pagamento de salários"/>
    <x v="0"/>
    <n v="100.42"/>
    <x v="3"/>
  </r>
  <r>
    <x v="5"/>
    <x v="3"/>
    <s v="Serviços realizada"/>
    <x v="1"/>
    <n v="4395.45"/>
    <x v="2"/>
  </r>
  <r>
    <x v="43"/>
    <x v="0"/>
    <s v="Pagamento de salários"/>
    <x v="0"/>
    <n v="2539.7199999999998"/>
    <x v="2"/>
  </r>
  <r>
    <x v="44"/>
    <x v="2"/>
    <s v="Pagamento de marketing"/>
    <x v="0"/>
    <n v="2172.62"/>
    <x v="1"/>
  </r>
  <r>
    <x v="45"/>
    <x v="1"/>
    <s v="Vendas realizada"/>
    <x v="1"/>
    <n v="3193.39"/>
    <x v="1"/>
  </r>
  <r>
    <x v="46"/>
    <x v="4"/>
    <s v="Pagamento de impostos"/>
    <x v="0"/>
    <n v="2881.67"/>
    <x v="2"/>
  </r>
  <r>
    <x v="47"/>
    <x v="3"/>
    <s v="Serviços realizada"/>
    <x v="1"/>
    <n v="2601.41"/>
    <x v="3"/>
  </r>
  <r>
    <x v="48"/>
    <x v="1"/>
    <s v="Vendas realizada"/>
    <x v="1"/>
    <n v="1427.82"/>
    <x v="0"/>
  </r>
  <r>
    <x v="6"/>
    <x v="1"/>
    <s v="Vendas realizada"/>
    <x v="1"/>
    <n v="1088.02"/>
    <x v="3"/>
  </r>
  <r>
    <x v="49"/>
    <x v="1"/>
    <s v="Vendas realizada"/>
    <x v="1"/>
    <n v="3016.81"/>
    <x v="0"/>
  </r>
  <r>
    <x v="50"/>
    <x v="0"/>
    <s v="Pagamento de salários"/>
    <x v="0"/>
    <n v="262.14"/>
    <x v="2"/>
  </r>
  <r>
    <x v="51"/>
    <x v="7"/>
    <s v="Pagamento de aluguel"/>
    <x v="0"/>
    <n v="1457.82"/>
    <x v="2"/>
  </r>
  <r>
    <x v="52"/>
    <x v="3"/>
    <s v="Serviços realizada"/>
    <x v="1"/>
    <n v="1625.73"/>
    <x v="0"/>
  </r>
  <r>
    <x v="53"/>
    <x v="3"/>
    <s v="Serviços realizada"/>
    <x v="1"/>
    <n v="2296.88"/>
    <x v="2"/>
  </r>
  <r>
    <x v="54"/>
    <x v="3"/>
    <s v="Serviços realizada"/>
    <x v="1"/>
    <n v="4541.6400000000003"/>
    <x v="0"/>
  </r>
  <r>
    <x v="55"/>
    <x v="3"/>
    <s v="Serviços realizada"/>
    <x v="1"/>
    <n v="2499.54"/>
    <x v="2"/>
  </r>
  <r>
    <x v="56"/>
    <x v="3"/>
    <s v="Serviços realizada"/>
    <x v="1"/>
    <n v="2643.97"/>
    <x v="2"/>
  </r>
  <r>
    <x v="17"/>
    <x v="1"/>
    <s v="Vendas realizada"/>
    <x v="1"/>
    <n v="1316.13"/>
    <x v="0"/>
  </r>
  <r>
    <x v="47"/>
    <x v="1"/>
    <s v="Vendas realizada"/>
    <x v="1"/>
    <n v="1239.9000000000001"/>
    <x v="2"/>
  </r>
  <r>
    <x v="29"/>
    <x v="3"/>
    <s v="Serviços realizada"/>
    <x v="1"/>
    <n v="4816.1099999999997"/>
    <x v="3"/>
  </r>
  <r>
    <x v="57"/>
    <x v="1"/>
    <s v="Vendas realizada"/>
    <x v="1"/>
    <n v="1663.65"/>
    <x v="0"/>
  </r>
  <r>
    <x v="58"/>
    <x v="3"/>
    <s v="Serviços realizada"/>
    <x v="1"/>
    <n v="4659.99"/>
    <x v="1"/>
  </r>
  <r>
    <x v="59"/>
    <x v="2"/>
    <s v="Pagamento de marketing"/>
    <x v="0"/>
    <n v="818.99"/>
    <x v="1"/>
  </r>
  <r>
    <x v="57"/>
    <x v="1"/>
    <s v="Vendas realizada"/>
    <x v="1"/>
    <n v="4652.9399999999996"/>
    <x v="1"/>
  </r>
  <r>
    <x v="60"/>
    <x v="1"/>
    <s v="Vendas realizada"/>
    <x v="1"/>
    <n v="3633.06"/>
    <x v="0"/>
  </r>
  <r>
    <x v="61"/>
    <x v="3"/>
    <s v="Serviços realizada"/>
    <x v="1"/>
    <n v="2835.65"/>
    <x v="1"/>
  </r>
  <r>
    <x v="62"/>
    <x v="6"/>
    <s v="Pagamento de fornecedores"/>
    <x v="0"/>
    <n v="227.53"/>
    <x v="1"/>
  </r>
  <r>
    <x v="63"/>
    <x v="3"/>
    <s v="Serviços realizada"/>
    <x v="1"/>
    <n v="3198.89"/>
    <x v="3"/>
  </r>
  <r>
    <x v="64"/>
    <x v="5"/>
    <s v="Pagamento de transporte"/>
    <x v="0"/>
    <n v="1281.75"/>
    <x v="3"/>
  </r>
  <r>
    <x v="65"/>
    <x v="3"/>
    <s v="Serviços realizada"/>
    <x v="1"/>
    <n v="1653.64"/>
    <x v="3"/>
  </r>
  <r>
    <x v="66"/>
    <x v="1"/>
    <s v="Vendas realizada"/>
    <x v="1"/>
    <n v="1664.99"/>
    <x v="2"/>
  </r>
  <r>
    <x v="67"/>
    <x v="5"/>
    <s v="Pagamento de transporte"/>
    <x v="0"/>
    <n v="1527.85"/>
    <x v="3"/>
  </r>
  <r>
    <x v="68"/>
    <x v="7"/>
    <s v="Pagamento de aluguel"/>
    <x v="0"/>
    <n v="1708.92"/>
    <x v="2"/>
  </r>
  <r>
    <x v="39"/>
    <x v="6"/>
    <s v="Pagamento de fornecedores"/>
    <x v="0"/>
    <n v="2597.29"/>
    <x v="2"/>
  </r>
  <r>
    <x v="61"/>
    <x v="1"/>
    <s v="Vendas realizada"/>
    <x v="1"/>
    <n v="2138.52"/>
    <x v="0"/>
  </r>
  <r>
    <x v="69"/>
    <x v="1"/>
    <s v="Vendas realizada"/>
    <x v="1"/>
    <n v="3132.37"/>
    <x v="2"/>
  </r>
  <r>
    <x v="28"/>
    <x v="6"/>
    <s v="Pagamento de fornecedores"/>
    <x v="0"/>
    <n v="1714.24"/>
    <x v="3"/>
  </r>
  <r>
    <x v="31"/>
    <x v="1"/>
    <s v="Vendas realizada"/>
    <x v="1"/>
    <n v="535.79"/>
    <x v="1"/>
  </r>
  <r>
    <x v="65"/>
    <x v="3"/>
    <s v="Serviços realizada"/>
    <x v="1"/>
    <n v="3537.56"/>
    <x v="0"/>
  </r>
  <r>
    <x v="70"/>
    <x v="3"/>
    <s v="Serviços realizada"/>
    <x v="1"/>
    <n v="1944.62"/>
    <x v="3"/>
  </r>
  <r>
    <x v="71"/>
    <x v="2"/>
    <s v="Pagamento de marketing"/>
    <x v="0"/>
    <n v="2107.2199999999998"/>
    <x v="2"/>
  </r>
  <r>
    <x v="49"/>
    <x v="1"/>
    <s v="Vendas realizada"/>
    <x v="1"/>
    <n v="1593.91"/>
    <x v="0"/>
  </r>
  <r>
    <x v="72"/>
    <x v="3"/>
    <s v="Serviços realizada"/>
    <x v="1"/>
    <n v="1546.2"/>
    <x v="1"/>
  </r>
  <r>
    <x v="30"/>
    <x v="1"/>
    <s v="Vendas realizada"/>
    <x v="1"/>
    <n v="2630.99"/>
    <x v="0"/>
  </r>
  <r>
    <x v="61"/>
    <x v="3"/>
    <s v="Serviços realizada"/>
    <x v="1"/>
    <n v="3236.65"/>
    <x v="3"/>
  </r>
  <r>
    <x v="10"/>
    <x v="0"/>
    <s v="Pagamento de salários"/>
    <x v="0"/>
    <n v="1576.61"/>
    <x v="2"/>
  </r>
  <r>
    <x v="73"/>
    <x v="3"/>
    <s v="Serviços realizada"/>
    <x v="1"/>
    <n v="1548.23"/>
    <x v="2"/>
  </r>
  <r>
    <x v="74"/>
    <x v="6"/>
    <s v="Pagamento de fornecedores"/>
    <x v="0"/>
    <n v="1200.79"/>
    <x v="3"/>
  </r>
  <r>
    <x v="75"/>
    <x v="2"/>
    <s v="Pagamento de marketing"/>
    <x v="0"/>
    <n v="2359.08"/>
    <x v="2"/>
  </r>
  <r>
    <x v="54"/>
    <x v="1"/>
    <s v="Vendas realizada"/>
    <x v="1"/>
    <n v="2346.23"/>
    <x v="1"/>
  </r>
  <r>
    <x v="64"/>
    <x v="3"/>
    <s v="Serviços realizada"/>
    <x v="1"/>
    <n v="3295.02"/>
    <x v="1"/>
  </r>
  <r>
    <x v="45"/>
    <x v="1"/>
    <s v="Vendas realizada"/>
    <x v="1"/>
    <n v="4673.1499999999996"/>
    <x v="2"/>
  </r>
  <r>
    <x v="76"/>
    <x v="3"/>
    <s v="Serviços realizada"/>
    <x v="1"/>
    <n v="2394.5"/>
    <x v="3"/>
  </r>
  <r>
    <x v="77"/>
    <x v="1"/>
    <s v="Vendas realizada"/>
    <x v="1"/>
    <n v="4158.91"/>
    <x v="2"/>
  </r>
  <r>
    <x v="78"/>
    <x v="4"/>
    <s v="Pagamento de impostos"/>
    <x v="0"/>
    <n v="754.0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35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4" rowHeaderCaption="Categoria">
  <location ref="L6:O15" firstHeaderRow="1" firstDataRow="2" firstDataCol="1"/>
  <pivotFields count="7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9">
        <item h="1" x="7"/>
        <item x="6"/>
        <item x="4"/>
        <item x="2"/>
        <item x="0"/>
        <item x="3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3">
        <item x="0"/>
        <item x="1"/>
        <item t="default"/>
      </items>
    </pivotField>
    <pivotField dataField="1" numFmtId="164" showAll="0"/>
    <pivotField showAll="0"/>
    <pivotField dragToRow="0" dragToCol="0" dragToPage="0" showAll="0" defaultSubtotal="0"/>
  </pivotFields>
  <rowFields count="1">
    <field x="1"/>
  </rowFields>
  <rowItems count="8">
    <i>
      <x v="5"/>
    </i>
    <i>
      <x v="7"/>
    </i>
    <i>
      <x v="3"/>
    </i>
    <i>
      <x v="4"/>
    </i>
    <i>
      <x v="2"/>
    </i>
    <i>
      <x v="6"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a valores" fld="4" baseField="0" baseItem="0"/>
  </dataFields>
  <formats count="5">
    <format dxfId="10">
      <pivotArea collapsedLevelsAreSubtotals="1" fieldPosition="0">
        <references count="2">
          <reference field="1" count="0"/>
          <reference field="3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2">
      <pivotArea grandCol="1" outline="0" collapsedLevelsAreSubtotals="1" fieldPosition="0"/>
    </format>
    <format dxfId="13">
      <pivotArea field="3" grandRow="1" outline="0" collapsedLevelsAreSubtotals="1" axis="axisCol" fieldPosition="0">
        <references count="1">
          <reference field="3" count="1" selected="0">
            <x v="0"/>
          </reference>
        </references>
      </pivotArea>
    </format>
    <format dxfId="0">
      <pivotArea type="all" dataOnly="0" outline="0" fieldPosition="0"/>
    </format>
  </format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35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8" rowHeaderCaption="Forma de pagamentos">
  <location ref="A3:B8" firstHeaderRow="1" firstDataRow="1" firstDataCol="1"/>
  <pivotFields count="7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164" showAll="0"/>
    <pivotField axis="axisRow" showAll="0">
      <items count="5">
        <item x="2"/>
        <item x="0"/>
        <item x="1"/>
        <item x="3"/>
        <item t="default"/>
      </items>
    </pivotField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" fld="4" showDataAs="percentOfTotal" baseField="0" baseItem="0" numFmtId="10"/>
  </dataFields>
  <formats count="1">
    <format dxfId="2">
      <pivotArea type="all" dataOnly="0" outline="0" fieldPosition="0"/>
    </format>
  </format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6" cacheId="35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A3:D11" firstHeaderRow="1" firstDataRow="2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dataField="1" numFmtId="164" showAll="0"/>
    <pivotField showAll="0"/>
    <pivotField dragToRow="0" dragToCol="0" dragToPage="0" showAll="0" defaultSubtota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a de Valor" fld="4" baseField="0" baseItem="0"/>
  </dataFields>
  <formats count="1">
    <format dxfId="1">
      <pivotArea type="all" dataOnly="0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Tipo" sourceName="Tipo">
  <pivotTables>
    <pivotTable tabId="3" name="Tabela dinâmica1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ipo" cache="SegmentaçãodeDados_Tipo" caption="Tipo" showCaption="0" style="SlicerStyleLight3" rowHeight="241300"/>
</slicers>
</file>

<file path=xl/tables/table1.xml><?xml version="1.0" encoding="utf-8"?>
<table xmlns="http://schemas.openxmlformats.org/spreadsheetml/2006/main" id="1" name="tb_financeiro" displayName="tb_financeiro" ref="A1:F101" totalsRowShown="0">
  <autoFilter ref="A1:F101"/>
  <tableColumns count="6">
    <tableColumn id="1" name="Data" dataDxfId="7"/>
    <tableColumn id="2" name="Categoria"/>
    <tableColumn id="3" name="Descrição"/>
    <tableColumn id="4" name="Tipo"/>
    <tableColumn id="5" name="Valor" dataDxfId="14" dataCellStyle="Moeda"/>
    <tableColumn id="6" name="Forma de Paga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6:O15"/>
  <sheetViews>
    <sheetView showGridLines="0" zoomScale="80" zoomScaleNormal="80" workbookViewId="0">
      <selection activeCell="M30" sqref="M30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14.28515625" customWidth="1"/>
    <col min="4" max="4" width="14.28515625" bestFit="1" customWidth="1"/>
    <col min="12" max="12" width="16.5703125" bestFit="1" customWidth="1"/>
    <col min="13" max="13" width="24.5703125" bestFit="1" customWidth="1"/>
    <col min="14" max="15" width="19.85546875" bestFit="1" customWidth="1"/>
    <col min="16" max="16" width="14.28515625" bestFit="1" customWidth="1"/>
  </cols>
  <sheetData>
    <row r="6" spans="11:15" ht="18.75" x14ac:dyDescent="0.3">
      <c r="K6" s="11"/>
      <c r="L6" s="12" t="s">
        <v>37</v>
      </c>
      <c r="M6" s="12" t="s">
        <v>35</v>
      </c>
      <c r="N6" s="11"/>
      <c r="O6" s="11"/>
    </row>
    <row r="7" spans="11:15" ht="18.75" x14ac:dyDescent="0.3">
      <c r="K7" s="11"/>
      <c r="L7" s="12" t="s">
        <v>1</v>
      </c>
      <c r="M7" s="11" t="s">
        <v>8</v>
      </c>
      <c r="N7" s="11" t="s">
        <v>12</v>
      </c>
      <c r="O7" s="11" t="s">
        <v>34</v>
      </c>
    </row>
    <row r="8" spans="11:15" ht="18.75" x14ac:dyDescent="0.3">
      <c r="K8" s="11"/>
      <c r="L8" s="13" t="s">
        <v>16</v>
      </c>
      <c r="M8" s="14"/>
      <c r="N8" s="14">
        <v>96197.049999999974</v>
      </c>
      <c r="O8" s="14">
        <v>96197.049999999974</v>
      </c>
    </row>
    <row r="9" spans="11:15" ht="18.75" x14ac:dyDescent="0.3">
      <c r="K9" s="11"/>
      <c r="L9" s="13" t="s">
        <v>10</v>
      </c>
      <c r="M9" s="14"/>
      <c r="N9" s="14">
        <v>76950.659999999989</v>
      </c>
      <c r="O9" s="14">
        <v>76950.659999999989</v>
      </c>
    </row>
    <row r="10" spans="11:15" ht="18.75" x14ac:dyDescent="0.3">
      <c r="K10" s="11"/>
      <c r="L10" s="13" t="s">
        <v>13</v>
      </c>
      <c r="M10" s="14">
        <v>15559.619999999997</v>
      </c>
      <c r="N10" s="14"/>
      <c r="O10" s="14">
        <v>15559.619999999997</v>
      </c>
    </row>
    <row r="11" spans="11:15" ht="18.75" x14ac:dyDescent="0.3">
      <c r="K11" s="11"/>
      <c r="L11" s="13" t="s">
        <v>6</v>
      </c>
      <c r="M11" s="14">
        <v>15406.8</v>
      </c>
      <c r="N11" s="14"/>
      <c r="O11" s="14">
        <v>15406.8</v>
      </c>
    </row>
    <row r="12" spans="11:15" ht="18.75" x14ac:dyDescent="0.3">
      <c r="K12" s="11"/>
      <c r="L12" s="13" t="s">
        <v>19</v>
      </c>
      <c r="M12" s="14">
        <v>9886.130000000001</v>
      </c>
      <c r="N12" s="14"/>
      <c r="O12" s="14">
        <v>9886.130000000001</v>
      </c>
    </row>
    <row r="13" spans="11:15" ht="18.75" x14ac:dyDescent="0.3">
      <c r="K13" s="11"/>
      <c r="L13" s="13" t="s">
        <v>22</v>
      </c>
      <c r="M13" s="14">
        <v>8444.44</v>
      </c>
      <c r="N13" s="14"/>
      <c r="O13" s="14">
        <v>8444.44</v>
      </c>
    </row>
    <row r="14" spans="11:15" ht="18.75" x14ac:dyDescent="0.3">
      <c r="K14" s="11"/>
      <c r="L14" s="13" t="s">
        <v>24</v>
      </c>
      <c r="M14" s="14">
        <v>7887.71</v>
      </c>
      <c r="N14" s="14"/>
      <c r="O14" s="14">
        <v>7887.71</v>
      </c>
    </row>
    <row r="15" spans="11:15" ht="18.75" x14ac:dyDescent="0.3">
      <c r="K15" s="11"/>
      <c r="L15" s="13" t="s">
        <v>34</v>
      </c>
      <c r="M15" s="14">
        <v>57184.7</v>
      </c>
      <c r="N15" s="14">
        <v>173147.70999999996</v>
      </c>
      <c r="O15" s="14">
        <v>230332.40999999997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3"/>
  <sheetViews>
    <sheetView showGridLines="0" workbookViewId="0">
      <selection activeCell="B20" sqref="B20"/>
    </sheetView>
  </sheetViews>
  <sheetFormatPr defaultRowHeight="15" x14ac:dyDescent="0.25"/>
  <cols>
    <col min="1" max="1" width="36.42578125" bestFit="1" customWidth="1"/>
    <col min="2" max="2" width="22.42578125" bestFit="1" customWidth="1"/>
    <col min="3" max="4" width="16.28515625" bestFit="1" customWidth="1"/>
  </cols>
  <sheetData>
    <row r="2" spans="1:2" ht="15.75" customHeight="1" x14ac:dyDescent="0.35">
      <c r="A2" s="15"/>
      <c r="B2" s="15"/>
    </row>
    <row r="3" spans="1:2" ht="23.25" x14ac:dyDescent="0.35">
      <c r="A3" s="16" t="s">
        <v>38</v>
      </c>
      <c r="B3" s="15" t="s">
        <v>36</v>
      </c>
    </row>
    <row r="4" spans="1:2" ht="23.25" x14ac:dyDescent="0.35">
      <c r="A4" s="17" t="s">
        <v>18</v>
      </c>
      <c r="B4" s="18">
        <v>0.38918429605099841</v>
      </c>
    </row>
    <row r="5" spans="1:2" ht="23.25" x14ac:dyDescent="0.35">
      <c r="A5" s="17" t="s">
        <v>9</v>
      </c>
      <c r="B5" s="18">
        <v>0.2167220218675189</v>
      </c>
    </row>
    <row r="6" spans="1:2" ht="23.25" x14ac:dyDescent="0.35">
      <c r="A6" s="17" t="s">
        <v>15</v>
      </c>
      <c r="B6" s="18">
        <v>0.17740738965335623</v>
      </c>
    </row>
    <row r="7" spans="1:2" ht="23.25" x14ac:dyDescent="0.35">
      <c r="A7" s="17" t="s">
        <v>21</v>
      </c>
      <c r="B7" s="18">
        <v>0.21668629242812651</v>
      </c>
    </row>
    <row r="8" spans="1:2" ht="23.25" x14ac:dyDescent="0.35">
      <c r="A8" s="17" t="s">
        <v>34</v>
      </c>
      <c r="B8" s="18">
        <v>1</v>
      </c>
    </row>
    <row r="9" spans="1:2" ht="23.25" x14ac:dyDescent="0.35">
      <c r="A9" s="15"/>
      <c r="B9" s="15"/>
    </row>
    <row r="23" ht="10.5" customHeight="1" x14ac:dyDescent="0.25"/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showGridLines="0" workbookViewId="0">
      <selection activeCell="E21" sqref="E21"/>
    </sheetView>
  </sheetViews>
  <sheetFormatPr defaultRowHeight="15" x14ac:dyDescent="0.25"/>
  <cols>
    <col min="1" max="1" width="24.42578125" bestFit="1" customWidth="1"/>
    <col min="2" max="2" width="26.28515625" bestFit="1" customWidth="1"/>
    <col min="3" max="3" width="10.7109375" bestFit="1" customWidth="1"/>
    <col min="4" max="4" width="15.5703125" bestFit="1" customWidth="1"/>
  </cols>
  <sheetData>
    <row r="2" spans="1:4" ht="21" x14ac:dyDescent="0.35">
      <c r="A2" s="9"/>
      <c r="B2" s="9"/>
      <c r="C2" s="9"/>
      <c r="D2" s="9"/>
    </row>
    <row r="3" spans="1:4" ht="21" x14ac:dyDescent="0.35">
      <c r="A3" s="10" t="s">
        <v>36</v>
      </c>
      <c r="B3" s="10" t="s">
        <v>35</v>
      </c>
      <c r="C3" s="9"/>
      <c r="D3" s="9"/>
    </row>
    <row r="4" spans="1:4" ht="21" x14ac:dyDescent="0.35">
      <c r="A4" s="10" t="s">
        <v>33</v>
      </c>
      <c r="B4" s="9" t="s">
        <v>8</v>
      </c>
      <c r="C4" s="9" t="s">
        <v>12</v>
      </c>
      <c r="D4" s="9" t="s">
        <v>34</v>
      </c>
    </row>
    <row r="5" spans="1:4" ht="21" x14ac:dyDescent="0.35">
      <c r="A5" s="19" t="s">
        <v>39</v>
      </c>
      <c r="B5" s="20">
        <v>15532.320000000002</v>
      </c>
      <c r="C5" s="20">
        <v>32501.14</v>
      </c>
      <c r="D5" s="20">
        <v>48033.46</v>
      </c>
    </row>
    <row r="6" spans="1:4" ht="21" x14ac:dyDescent="0.35">
      <c r="A6" s="19" t="s">
        <v>40</v>
      </c>
      <c r="B6" s="20">
        <v>12714.72</v>
      </c>
      <c r="C6" s="20">
        <v>16631.759999999998</v>
      </c>
      <c r="D6" s="20">
        <v>29346.479999999996</v>
      </c>
    </row>
    <row r="7" spans="1:4" ht="21" x14ac:dyDescent="0.35">
      <c r="A7" s="19" t="s">
        <v>41</v>
      </c>
      <c r="B7" s="20">
        <v>8040.32</v>
      </c>
      <c r="C7" s="20">
        <v>51924.87999999999</v>
      </c>
      <c r="D7" s="20">
        <v>59965.19999999999</v>
      </c>
    </row>
    <row r="8" spans="1:4" ht="21" x14ac:dyDescent="0.35">
      <c r="A8" s="19" t="s">
        <v>42</v>
      </c>
      <c r="B8" s="20">
        <v>5552.2999999999993</v>
      </c>
      <c r="C8" s="20">
        <v>36279.260000000009</v>
      </c>
      <c r="D8" s="20">
        <v>41831.560000000012</v>
      </c>
    </row>
    <row r="9" spans="1:4" ht="21" x14ac:dyDescent="0.35">
      <c r="A9" s="19" t="s">
        <v>43</v>
      </c>
      <c r="B9" s="20">
        <v>3085.75</v>
      </c>
      <c r="C9" s="20">
        <v>6816.93</v>
      </c>
      <c r="D9" s="20">
        <v>9902.68</v>
      </c>
    </row>
    <row r="10" spans="1:4" ht="21" x14ac:dyDescent="0.35">
      <c r="A10" s="19" t="s">
        <v>44</v>
      </c>
      <c r="B10" s="20">
        <v>17866.77</v>
      </c>
      <c r="C10" s="20">
        <v>28993.739999999998</v>
      </c>
      <c r="D10" s="20">
        <v>46860.509999999995</v>
      </c>
    </row>
    <row r="11" spans="1:4" ht="21" x14ac:dyDescent="0.35">
      <c r="A11" s="19" t="s">
        <v>34</v>
      </c>
      <c r="B11" s="20">
        <v>62792.180000000008</v>
      </c>
      <c r="C11" s="20">
        <v>173147.70999999996</v>
      </c>
      <c r="D11" s="20">
        <v>235939.89</v>
      </c>
    </row>
    <row r="12" spans="1:4" ht="21" x14ac:dyDescent="0.35">
      <c r="A12" s="9"/>
      <c r="B12" s="9"/>
      <c r="C12" s="9"/>
      <c r="D12" s="9"/>
    </row>
    <row r="13" spans="1:4" ht="21" x14ac:dyDescent="0.35">
      <c r="A13" s="9"/>
      <c r="B13" s="9"/>
      <c r="C13" s="9"/>
      <c r="D13" s="9"/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zoomScale="90" zoomScaleNormal="90" workbookViewId="0">
      <selection activeCell="N31" sqref="N31"/>
    </sheetView>
  </sheetViews>
  <sheetFormatPr defaultRowHeight="15" x14ac:dyDescent="0.25"/>
  <cols>
    <col min="1" max="1" width="14.42578125" style="2" customWidth="1"/>
    <col min="2" max="2" width="13.28515625" bestFit="1" customWidth="1"/>
    <col min="3" max="3" width="26.5703125" bestFit="1" customWidth="1"/>
    <col min="4" max="4" width="8.42578125" bestFit="1" customWidth="1"/>
    <col min="5" max="5" width="12.140625" style="1" bestFit="1" customWidth="1"/>
    <col min="6" max="6" width="22.28515625" bestFit="1" customWidth="1"/>
    <col min="8" max="8" width="14.42578125" style="2" customWidth="1"/>
  </cols>
  <sheetData>
    <row r="1" spans="1:8" x14ac:dyDescent="0.25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H1" s="2" t="s">
        <v>0</v>
      </c>
    </row>
    <row r="2" spans="1:8" x14ac:dyDescent="0.25">
      <c r="A2" s="2">
        <v>45408</v>
      </c>
      <c r="B2" t="s">
        <v>6</v>
      </c>
      <c r="C2" t="s">
        <v>7</v>
      </c>
      <c r="D2" t="s">
        <v>8</v>
      </c>
      <c r="E2" s="1">
        <v>2522.91</v>
      </c>
      <c r="F2" t="s">
        <v>9</v>
      </c>
      <c r="H2" s="2">
        <v>45408</v>
      </c>
    </row>
    <row r="3" spans="1:8" x14ac:dyDescent="0.25">
      <c r="A3" s="2">
        <v>45342</v>
      </c>
      <c r="B3" t="s">
        <v>10</v>
      </c>
      <c r="C3" t="s">
        <v>11</v>
      </c>
      <c r="D3" t="s">
        <v>12</v>
      </c>
      <c r="E3" s="1">
        <v>4291.37</v>
      </c>
      <c r="F3" t="s">
        <v>9</v>
      </c>
      <c r="H3" s="2">
        <v>45342</v>
      </c>
    </row>
    <row r="4" spans="1:8" x14ac:dyDescent="0.25">
      <c r="A4" s="2">
        <v>45343</v>
      </c>
      <c r="B4" t="s">
        <v>13</v>
      </c>
      <c r="C4" t="s">
        <v>14</v>
      </c>
      <c r="D4" t="s">
        <v>8</v>
      </c>
      <c r="E4" s="1">
        <v>1085.8900000000001</v>
      </c>
      <c r="F4" t="s">
        <v>15</v>
      </c>
      <c r="H4" s="2">
        <v>45343</v>
      </c>
    </row>
    <row r="5" spans="1:8" x14ac:dyDescent="0.25">
      <c r="A5" s="2">
        <v>45375</v>
      </c>
      <c r="B5" t="s">
        <v>16</v>
      </c>
      <c r="C5" t="s">
        <v>17</v>
      </c>
      <c r="D5" t="s">
        <v>12</v>
      </c>
      <c r="E5" s="1">
        <v>2360.25</v>
      </c>
      <c r="F5" t="s">
        <v>18</v>
      </c>
      <c r="H5" s="2">
        <v>45375</v>
      </c>
    </row>
    <row r="6" spans="1:8" x14ac:dyDescent="0.25">
      <c r="A6" s="2">
        <v>45385</v>
      </c>
      <c r="B6" t="s">
        <v>10</v>
      </c>
      <c r="C6" t="s">
        <v>11</v>
      </c>
      <c r="D6" t="s">
        <v>12</v>
      </c>
      <c r="E6" s="1">
        <v>3931.31</v>
      </c>
      <c r="F6" t="s">
        <v>15</v>
      </c>
      <c r="H6" s="2">
        <v>45385</v>
      </c>
    </row>
    <row r="7" spans="1:8" x14ac:dyDescent="0.25">
      <c r="A7" s="2">
        <v>45470</v>
      </c>
      <c r="B7" t="s">
        <v>19</v>
      </c>
      <c r="C7" t="s">
        <v>20</v>
      </c>
      <c r="D7" t="s">
        <v>8</v>
      </c>
      <c r="E7" s="1">
        <v>1131.8900000000001</v>
      </c>
      <c r="F7" t="s">
        <v>21</v>
      </c>
      <c r="H7" s="2">
        <v>45470</v>
      </c>
    </row>
    <row r="8" spans="1:8" x14ac:dyDescent="0.25">
      <c r="A8" s="2">
        <v>45448</v>
      </c>
      <c r="B8" t="s">
        <v>10</v>
      </c>
      <c r="C8" t="s">
        <v>11</v>
      </c>
      <c r="D8" t="s">
        <v>12</v>
      </c>
      <c r="E8" s="1">
        <v>2489.9699999999998</v>
      </c>
      <c r="F8" t="s">
        <v>21</v>
      </c>
      <c r="H8" s="2">
        <v>45448</v>
      </c>
    </row>
    <row r="9" spans="1:8" x14ac:dyDescent="0.25">
      <c r="A9" s="2">
        <v>45342</v>
      </c>
      <c r="B9" t="s">
        <v>10</v>
      </c>
      <c r="C9" t="s">
        <v>11</v>
      </c>
      <c r="D9" t="s">
        <v>12</v>
      </c>
      <c r="E9" s="1">
        <v>3630.34</v>
      </c>
      <c r="F9" t="s">
        <v>18</v>
      </c>
      <c r="H9" s="2">
        <v>45342</v>
      </c>
    </row>
    <row r="10" spans="1:8" x14ac:dyDescent="0.25">
      <c r="A10" s="2">
        <v>45330</v>
      </c>
      <c r="B10" t="s">
        <v>19</v>
      </c>
      <c r="C10" t="s">
        <v>20</v>
      </c>
      <c r="D10" t="s">
        <v>8</v>
      </c>
      <c r="E10" s="1">
        <v>818.44</v>
      </c>
      <c r="F10" t="s">
        <v>9</v>
      </c>
      <c r="H10" s="2">
        <v>45330</v>
      </c>
    </row>
    <row r="11" spans="1:8" x14ac:dyDescent="0.25">
      <c r="A11" s="2">
        <v>45377</v>
      </c>
      <c r="B11" t="s">
        <v>16</v>
      </c>
      <c r="C11" t="s">
        <v>17</v>
      </c>
      <c r="D11" t="s">
        <v>12</v>
      </c>
      <c r="E11" s="1">
        <v>2687.84</v>
      </c>
      <c r="F11" t="s">
        <v>15</v>
      </c>
      <c r="H11" s="2">
        <v>45377</v>
      </c>
    </row>
    <row r="12" spans="1:8" x14ac:dyDescent="0.25">
      <c r="A12" s="2">
        <v>45313</v>
      </c>
      <c r="B12" t="s">
        <v>6</v>
      </c>
      <c r="C12" t="s">
        <v>7</v>
      </c>
      <c r="D12" t="s">
        <v>8</v>
      </c>
      <c r="E12" s="1">
        <v>1916.38</v>
      </c>
      <c r="F12" t="s">
        <v>15</v>
      </c>
      <c r="H12" s="2">
        <v>45313</v>
      </c>
    </row>
    <row r="13" spans="1:8" x14ac:dyDescent="0.25">
      <c r="A13" s="2">
        <v>45373</v>
      </c>
      <c r="B13" t="s">
        <v>10</v>
      </c>
      <c r="C13" t="s">
        <v>11</v>
      </c>
      <c r="D13" t="s">
        <v>12</v>
      </c>
      <c r="E13" s="1">
        <v>4857.45</v>
      </c>
      <c r="F13" t="s">
        <v>18</v>
      </c>
      <c r="H13" s="2">
        <v>45373</v>
      </c>
    </row>
    <row r="14" spans="1:8" x14ac:dyDescent="0.25">
      <c r="A14" s="2">
        <v>45322</v>
      </c>
      <c r="B14" t="s">
        <v>13</v>
      </c>
      <c r="C14" t="s">
        <v>14</v>
      </c>
      <c r="D14" t="s">
        <v>8</v>
      </c>
      <c r="E14" s="1">
        <v>1333.69</v>
      </c>
      <c r="F14" t="s">
        <v>9</v>
      </c>
      <c r="H14" s="2">
        <v>45322</v>
      </c>
    </row>
    <row r="15" spans="1:8" x14ac:dyDescent="0.25">
      <c r="A15" s="2">
        <v>45325</v>
      </c>
      <c r="B15" t="s">
        <v>6</v>
      </c>
      <c r="C15" t="s">
        <v>7</v>
      </c>
      <c r="D15" t="s">
        <v>8</v>
      </c>
      <c r="E15" s="1">
        <v>1310.44</v>
      </c>
      <c r="F15" t="s">
        <v>21</v>
      </c>
      <c r="H15" s="2">
        <v>45325</v>
      </c>
    </row>
    <row r="16" spans="1:8" x14ac:dyDescent="0.25">
      <c r="A16" s="2">
        <v>45315</v>
      </c>
      <c r="B16" t="s">
        <v>22</v>
      </c>
      <c r="C16" t="s">
        <v>23</v>
      </c>
      <c r="D16" t="s">
        <v>8</v>
      </c>
      <c r="E16" s="1">
        <v>2801.22</v>
      </c>
      <c r="F16" t="s">
        <v>9</v>
      </c>
      <c r="H16" s="2">
        <v>45315</v>
      </c>
    </row>
    <row r="17" spans="1:8" x14ac:dyDescent="0.25">
      <c r="A17" s="2">
        <v>45395</v>
      </c>
      <c r="B17" t="s">
        <v>16</v>
      </c>
      <c r="C17" t="s">
        <v>17</v>
      </c>
      <c r="D17" t="s">
        <v>12</v>
      </c>
      <c r="E17" s="1">
        <v>4928.3</v>
      </c>
      <c r="F17" t="s">
        <v>9</v>
      </c>
      <c r="H17" s="2">
        <v>45395</v>
      </c>
    </row>
    <row r="18" spans="1:8" x14ac:dyDescent="0.25">
      <c r="A18" s="2">
        <v>45292</v>
      </c>
      <c r="B18" t="s">
        <v>24</v>
      </c>
      <c r="C18" t="s">
        <v>25</v>
      </c>
      <c r="D18" t="s">
        <v>8</v>
      </c>
      <c r="E18" s="1">
        <v>2147.86</v>
      </c>
      <c r="F18" t="s">
        <v>21</v>
      </c>
      <c r="H18" s="2">
        <v>45292</v>
      </c>
    </row>
    <row r="19" spans="1:8" x14ac:dyDescent="0.25">
      <c r="A19" s="2">
        <v>45357</v>
      </c>
      <c r="B19" t="s">
        <v>10</v>
      </c>
      <c r="C19" t="s">
        <v>11</v>
      </c>
      <c r="D19" t="s">
        <v>12</v>
      </c>
      <c r="E19" s="1">
        <v>4712.21</v>
      </c>
      <c r="F19" t="s">
        <v>21</v>
      </c>
      <c r="H19" s="2">
        <v>45357</v>
      </c>
    </row>
    <row r="20" spans="1:8" x14ac:dyDescent="0.25">
      <c r="A20" s="2">
        <v>45471</v>
      </c>
      <c r="B20" t="s">
        <v>10</v>
      </c>
      <c r="C20" t="s">
        <v>11</v>
      </c>
      <c r="D20" t="s">
        <v>12</v>
      </c>
      <c r="E20" s="1">
        <v>2900.34</v>
      </c>
      <c r="F20" t="s">
        <v>9</v>
      </c>
      <c r="H20" s="2">
        <v>45471</v>
      </c>
    </row>
    <row r="21" spans="1:8" x14ac:dyDescent="0.25">
      <c r="A21" s="2">
        <v>45407</v>
      </c>
      <c r="B21" t="s">
        <v>16</v>
      </c>
      <c r="C21" t="s">
        <v>17</v>
      </c>
      <c r="D21" t="s">
        <v>12</v>
      </c>
      <c r="E21" s="1">
        <v>3903.69</v>
      </c>
      <c r="F21" t="s">
        <v>21</v>
      </c>
      <c r="H21" s="2">
        <v>45407</v>
      </c>
    </row>
    <row r="22" spans="1:8" x14ac:dyDescent="0.25">
      <c r="A22" s="2">
        <v>45380</v>
      </c>
      <c r="B22" t="s">
        <v>16</v>
      </c>
      <c r="C22" t="s">
        <v>17</v>
      </c>
      <c r="D22" t="s">
        <v>12</v>
      </c>
      <c r="E22" s="1">
        <v>3101.92</v>
      </c>
      <c r="F22" t="s">
        <v>21</v>
      </c>
      <c r="H22" s="2">
        <v>45380</v>
      </c>
    </row>
    <row r="23" spans="1:8" x14ac:dyDescent="0.25">
      <c r="A23" s="2">
        <v>45294</v>
      </c>
      <c r="B23" t="s">
        <v>16</v>
      </c>
      <c r="C23" t="s">
        <v>17</v>
      </c>
      <c r="D23" t="s">
        <v>12</v>
      </c>
      <c r="E23" s="1">
        <v>1261.4000000000001</v>
      </c>
      <c r="F23" t="s">
        <v>15</v>
      </c>
      <c r="H23" s="2">
        <v>45294</v>
      </c>
    </row>
    <row r="24" spans="1:8" x14ac:dyDescent="0.25">
      <c r="A24" s="2">
        <v>45363</v>
      </c>
      <c r="B24" t="s">
        <v>19</v>
      </c>
      <c r="C24" t="s">
        <v>20</v>
      </c>
      <c r="D24" t="s">
        <v>8</v>
      </c>
      <c r="E24" s="1">
        <v>354.95</v>
      </c>
      <c r="F24" t="s">
        <v>15</v>
      </c>
      <c r="H24" s="2">
        <v>45363</v>
      </c>
    </row>
    <row r="25" spans="1:8" x14ac:dyDescent="0.25">
      <c r="A25" s="2">
        <v>45309</v>
      </c>
      <c r="B25" t="s">
        <v>13</v>
      </c>
      <c r="C25" t="s">
        <v>14</v>
      </c>
      <c r="D25" t="s">
        <v>8</v>
      </c>
      <c r="E25" s="1">
        <v>152.79</v>
      </c>
      <c r="F25" t="s">
        <v>15</v>
      </c>
      <c r="H25" s="2">
        <v>45309</v>
      </c>
    </row>
    <row r="26" spans="1:8" x14ac:dyDescent="0.25">
      <c r="A26" s="2">
        <v>45466</v>
      </c>
      <c r="B26" t="s">
        <v>19</v>
      </c>
      <c r="C26" t="s">
        <v>20</v>
      </c>
      <c r="D26" t="s">
        <v>8</v>
      </c>
      <c r="E26" s="1">
        <v>2639.82</v>
      </c>
      <c r="F26" t="s">
        <v>21</v>
      </c>
      <c r="H26" s="2">
        <v>45466</v>
      </c>
    </row>
    <row r="27" spans="1:8" x14ac:dyDescent="0.25">
      <c r="A27" s="2">
        <v>45332</v>
      </c>
      <c r="B27" t="s">
        <v>13</v>
      </c>
      <c r="C27" t="s">
        <v>14</v>
      </c>
      <c r="D27" t="s">
        <v>8</v>
      </c>
      <c r="E27" s="1">
        <v>477.31</v>
      </c>
      <c r="F27" t="s">
        <v>15</v>
      </c>
      <c r="H27" s="2">
        <v>45332</v>
      </c>
    </row>
    <row r="28" spans="1:8" x14ac:dyDescent="0.25">
      <c r="A28" s="2">
        <v>45310</v>
      </c>
      <c r="B28" t="s">
        <v>6</v>
      </c>
      <c r="C28" t="s">
        <v>7</v>
      </c>
      <c r="D28" t="s">
        <v>8</v>
      </c>
      <c r="E28" s="1">
        <v>2234.2800000000002</v>
      </c>
      <c r="F28" t="s">
        <v>18</v>
      </c>
      <c r="H28" s="2">
        <v>45310</v>
      </c>
    </row>
    <row r="29" spans="1:8" x14ac:dyDescent="0.25">
      <c r="A29" s="2">
        <v>45458</v>
      </c>
      <c r="B29" t="s">
        <v>22</v>
      </c>
      <c r="C29" t="s">
        <v>23</v>
      </c>
      <c r="D29" t="s">
        <v>8</v>
      </c>
      <c r="E29" s="1">
        <v>2833.62</v>
      </c>
      <c r="F29" t="s">
        <v>9</v>
      </c>
      <c r="H29" s="2">
        <v>45458</v>
      </c>
    </row>
    <row r="30" spans="1:8" x14ac:dyDescent="0.25">
      <c r="A30" s="2">
        <v>45311</v>
      </c>
      <c r="B30" t="s">
        <v>19</v>
      </c>
      <c r="C30" t="s">
        <v>20</v>
      </c>
      <c r="D30" t="s">
        <v>8</v>
      </c>
      <c r="E30" s="1">
        <v>1305.27</v>
      </c>
      <c r="F30" t="s">
        <v>18</v>
      </c>
      <c r="H30" s="2">
        <v>45311</v>
      </c>
    </row>
    <row r="31" spans="1:8" x14ac:dyDescent="0.25">
      <c r="A31" s="2">
        <v>45333</v>
      </c>
      <c r="B31" t="s">
        <v>26</v>
      </c>
      <c r="C31" t="s">
        <v>27</v>
      </c>
      <c r="D31" t="s">
        <v>8</v>
      </c>
      <c r="E31" s="1">
        <v>812.81</v>
      </c>
      <c r="F31" t="s">
        <v>18</v>
      </c>
      <c r="H31" s="2">
        <v>45333</v>
      </c>
    </row>
    <row r="32" spans="1:8" x14ac:dyDescent="0.25">
      <c r="A32" s="2">
        <v>45371</v>
      </c>
      <c r="B32" t="s">
        <v>16</v>
      </c>
      <c r="C32" t="s">
        <v>17</v>
      </c>
      <c r="D32" t="s">
        <v>12</v>
      </c>
      <c r="E32" s="1">
        <v>3917.41</v>
      </c>
      <c r="F32" t="s">
        <v>18</v>
      </c>
      <c r="H32" s="2">
        <v>45371</v>
      </c>
    </row>
    <row r="33" spans="1:8" x14ac:dyDescent="0.25">
      <c r="A33" s="2">
        <v>45374</v>
      </c>
      <c r="B33" t="s">
        <v>13</v>
      </c>
      <c r="C33" t="s">
        <v>14</v>
      </c>
      <c r="D33" t="s">
        <v>8</v>
      </c>
      <c r="E33" s="1">
        <v>1149.76</v>
      </c>
      <c r="F33" t="s">
        <v>18</v>
      </c>
      <c r="H33" s="2">
        <v>45374</v>
      </c>
    </row>
    <row r="34" spans="1:8" x14ac:dyDescent="0.25">
      <c r="A34" s="2">
        <v>45381</v>
      </c>
      <c r="B34" t="s">
        <v>13</v>
      </c>
      <c r="C34" t="s">
        <v>14</v>
      </c>
      <c r="D34" t="s">
        <v>8</v>
      </c>
      <c r="E34" s="1">
        <v>2077.33</v>
      </c>
      <c r="F34" t="s">
        <v>15</v>
      </c>
      <c r="H34" s="2">
        <v>45381</v>
      </c>
    </row>
    <row r="35" spans="1:8" x14ac:dyDescent="0.25">
      <c r="A35" s="2">
        <v>45402</v>
      </c>
      <c r="B35" t="s">
        <v>16</v>
      </c>
      <c r="C35" t="s">
        <v>17</v>
      </c>
      <c r="D35" t="s">
        <v>12</v>
      </c>
      <c r="E35" s="1">
        <v>1680.93</v>
      </c>
      <c r="F35" t="s">
        <v>18</v>
      </c>
      <c r="H35" s="2">
        <v>45402</v>
      </c>
    </row>
    <row r="36" spans="1:8" x14ac:dyDescent="0.25">
      <c r="A36" s="2">
        <v>45421</v>
      </c>
      <c r="B36" t="s">
        <v>26</v>
      </c>
      <c r="C36" t="s">
        <v>27</v>
      </c>
      <c r="D36" t="s">
        <v>8</v>
      </c>
      <c r="E36" s="1">
        <v>1627.93</v>
      </c>
      <c r="F36" t="s">
        <v>15</v>
      </c>
      <c r="H36" s="2">
        <v>45421</v>
      </c>
    </row>
    <row r="37" spans="1:8" x14ac:dyDescent="0.25">
      <c r="A37" s="2">
        <v>45296</v>
      </c>
      <c r="B37" t="s">
        <v>16</v>
      </c>
      <c r="C37" t="s">
        <v>17</v>
      </c>
      <c r="D37" t="s">
        <v>12</v>
      </c>
      <c r="E37" s="1">
        <v>538.97</v>
      </c>
      <c r="F37" t="s">
        <v>18</v>
      </c>
      <c r="H37" s="2">
        <v>45296</v>
      </c>
    </row>
    <row r="38" spans="1:8" x14ac:dyDescent="0.25">
      <c r="A38" s="2">
        <v>45337</v>
      </c>
      <c r="B38" t="s">
        <v>13</v>
      </c>
      <c r="C38" t="s">
        <v>14</v>
      </c>
      <c r="D38" t="s">
        <v>8</v>
      </c>
      <c r="E38" s="1">
        <v>1824.94</v>
      </c>
      <c r="F38" t="s">
        <v>18</v>
      </c>
      <c r="H38" s="2">
        <v>45337</v>
      </c>
    </row>
    <row r="39" spans="1:8" x14ac:dyDescent="0.25">
      <c r="A39" s="2">
        <v>45302</v>
      </c>
      <c r="B39" t="s">
        <v>10</v>
      </c>
      <c r="C39" t="s">
        <v>11</v>
      </c>
      <c r="D39" t="s">
        <v>12</v>
      </c>
      <c r="E39" s="1">
        <v>4453.43</v>
      </c>
      <c r="F39" t="s">
        <v>18</v>
      </c>
      <c r="H39" s="2">
        <v>45302</v>
      </c>
    </row>
    <row r="40" spans="1:8" x14ac:dyDescent="0.25">
      <c r="A40" s="2">
        <v>45383</v>
      </c>
      <c r="B40" t="s">
        <v>16</v>
      </c>
      <c r="C40" t="s">
        <v>17</v>
      </c>
      <c r="D40" t="s">
        <v>12</v>
      </c>
      <c r="E40" s="1">
        <v>4623.9399999999996</v>
      </c>
      <c r="F40" t="s">
        <v>18</v>
      </c>
      <c r="H40" s="2">
        <v>45383</v>
      </c>
    </row>
    <row r="41" spans="1:8" x14ac:dyDescent="0.25">
      <c r="A41" s="2">
        <v>45387</v>
      </c>
      <c r="B41" t="s">
        <v>16</v>
      </c>
      <c r="C41" t="s">
        <v>17</v>
      </c>
      <c r="D41" t="s">
        <v>12</v>
      </c>
      <c r="E41" s="1">
        <v>4099.07</v>
      </c>
      <c r="F41" t="s">
        <v>18</v>
      </c>
      <c r="H41" s="2">
        <v>45387</v>
      </c>
    </row>
    <row r="42" spans="1:8" x14ac:dyDescent="0.25">
      <c r="A42" s="2">
        <v>45315</v>
      </c>
      <c r="B42" t="s">
        <v>10</v>
      </c>
      <c r="C42" t="s">
        <v>11</v>
      </c>
      <c r="D42" t="s">
        <v>12</v>
      </c>
      <c r="E42" s="1">
        <v>1577.66</v>
      </c>
      <c r="F42" t="s">
        <v>9</v>
      </c>
      <c r="H42" s="2">
        <v>45315</v>
      </c>
    </row>
    <row r="43" spans="1:8" x14ac:dyDescent="0.25">
      <c r="A43" s="2">
        <v>45449</v>
      </c>
      <c r="B43" t="s">
        <v>6</v>
      </c>
      <c r="C43" t="s">
        <v>7</v>
      </c>
      <c r="D43" t="s">
        <v>8</v>
      </c>
      <c r="E43" s="1">
        <v>2943.9</v>
      </c>
      <c r="F43" t="s">
        <v>18</v>
      </c>
      <c r="H43" s="2">
        <v>45449</v>
      </c>
    </row>
    <row r="44" spans="1:8" x14ac:dyDescent="0.25">
      <c r="A44" s="2">
        <v>45374</v>
      </c>
      <c r="B44" t="s">
        <v>16</v>
      </c>
      <c r="C44" t="s">
        <v>17</v>
      </c>
      <c r="D44" t="s">
        <v>12</v>
      </c>
      <c r="E44" s="1">
        <v>4893.3999999999996</v>
      </c>
      <c r="F44" t="s">
        <v>18</v>
      </c>
      <c r="H44" s="2">
        <v>45374</v>
      </c>
    </row>
    <row r="45" spans="1:8" x14ac:dyDescent="0.25">
      <c r="A45" s="2">
        <v>45378</v>
      </c>
      <c r="B45" t="s">
        <v>16</v>
      </c>
      <c r="C45" t="s">
        <v>17</v>
      </c>
      <c r="D45" t="s">
        <v>12</v>
      </c>
      <c r="E45" s="1">
        <v>1416.5</v>
      </c>
      <c r="F45" t="s">
        <v>21</v>
      </c>
      <c r="H45" s="2">
        <v>45378</v>
      </c>
    </row>
    <row r="46" spans="1:8" x14ac:dyDescent="0.25">
      <c r="A46" s="2">
        <v>45308</v>
      </c>
      <c r="B46" t="s">
        <v>16</v>
      </c>
      <c r="C46" t="s">
        <v>17</v>
      </c>
      <c r="D46" t="s">
        <v>12</v>
      </c>
      <c r="E46" s="1">
        <v>1511.75</v>
      </c>
      <c r="F46" t="s">
        <v>21</v>
      </c>
      <c r="H46" s="2">
        <v>45308</v>
      </c>
    </row>
    <row r="47" spans="1:8" x14ac:dyDescent="0.25">
      <c r="A47" s="2">
        <v>45335</v>
      </c>
      <c r="B47" t="s">
        <v>6</v>
      </c>
      <c r="C47" t="s">
        <v>7</v>
      </c>
      <c r="D47" t="s">
        <v>8</v>
      </c>
      <c r="E47" s="1">
        <v>100.42</v>
      </c>
      <c r="F47" t="s">
        <v>21</v>
      </c>
      <c r="H47" s="2">
        <v>45335</v>
      </c>
    </row>
    <row r="48" spans="1:8" x14ac:dyDescent="0.25">
      <c r="A48" s="2">
        <v>45470</v>
      </c>
      <c r="B48" t="s">
        <v>16</v>
      </c>
      <c r="C48" t="s">
        <v>17</v>
      </c>
      <c r="D48" t="s">
        <v>12</v>
      </c>
      <c r="E48" s="1">
        <v>4395.45</v>
      </c>
      <c r="F48" t="s">
        <v>18</v>
      </c>
      <c r="H48" s="2">
        <v>45470</v>
      </c>
    </row>
    <row r="49" spans="1:8" x14ac:dyDescent="0.25">
      <c r="A49" s="2">
        <v>45384</v>
      </c>
      <c r="B49" t="s">
        <v>6</v>
      </c>
      <c r="C49" t="s">
        <v>7</v>
      </c>
      <c r="D49" t="s">
        <v>8</v>
      </c>
      <c r="E49" s="1">
        <v>2539.7199999999998</v>
      </c>
      <c r="F49" t="s">
        <v>18</v>
      </c>
      <c r="H49" s="2">
        <v>45384</v>
      </c>
    </row>
    <row r="50" spans="1:8" x14ac:dyDescent="0.25">
      <c r="A50" s="2">
        <v>45463</v>
      </c>
      <c r="B50" t="s">
        <v>13</v>
      </c>
      <c r="C50" t="s">
        <v>14</v>
      </c>
      <c r="D50" t="s">
        <v>8</v>
      </c>
      <c r="E50" s="1">
        <v>2172.62</v>
      </c>
      <c r="F50" t="s">
        <v>15</v>
      </c>
      <c r="H50" s="2">
        <v>45463</v>
      </c>
    </row>
    <row r="51" spans="1:8" x14ac:dyDescent="0.25">
      <c r="A51" s="2">
        <v>45454</v>
      </c>
      <c r="B51" t="s">
        <v>10</v>
      </c>
      <c r="C51" t="s">
        <v>11</v>
      </c>
      <c r="D51" t="s">
        <v>12</v>
      </c>
      <c r="E51" s="1">
        <v>3193.39</v>
      </c>
      <c r="F51" t="s">
        <v>15</v>
      </c>
      <c r="H51" s="2">
        <v>45454</v>
      </c>
    </row>
    <row r="52" spans="1:8" x14ac:dyDescent="0.25">
      <c r="A52" s="2">
        <v>45355</v>
      </c>
      <c r="B52" t="s">
        <v>19</v>
      </c>
      <c r="C52" t="s">
        <v>20</v>
      </c>
      <c r="D52" t="s">
        <v>8</v>
      </c>
      <c r="E52" s="1">
        <v>2881.67</v>
      </c>
      <c r="F52" t="s">
        <v>18</v>
      </c>
      <c r="H52" s="2">
        <v>45355</v>
      </c>
    </row>
    <row r="53" spans="1:8" x14ac:dyDescent="0.25">
      <c r="A53" s="2">
        <v>45399</v>
      </c>
      <c r="B53" t="s">
        <v>16</v>
      </c>
      <c r="C53" t="s">
        <v>17</v>
      </c>
      <c r="D53" t="s">
        <v>12</v>
      </c>
      <c r="E53" s="1">
        <v>2601.41</v>
      </c>
      <c r="F53" t="s">
        <v>21</v>
      </c>
      <c r="H53" s="2">
        <v>45399</v>
      </c>
    </row>
    <row r="54" spans="1:8" x14ac:dyDescent="0.25">
      <c r="A54" s="2">
        <v>45365</v>
      </c>
      <c r="B54" t="s">
        <v>10</v>
      </c>
      <c r="C54" t="s">
        <v>11</v>
      </c>
      <c r="D54" t="s">
        <v>12</v>
      </c>
      <c r="E54" s="1">
        <v>1427.82</v>
      </c>
      <c r="F54" t="s">
        <v>9</v>
      </c>
      <c r="H54" s="2">
        <v>45365</v>
      </c>
    </row>
    <row r="55" spans="1:8" x14ac:dyDescent="0.25">
      <c r="A55" s="2">
        <v>45448</v>
      </c>
      <c r="B55" t="s">
        <v>10</v>
      </c>
      <c r="C55" t="s">
        <v>11</v>
      </c>
      <c r="D55" t="s">
        <v>12</v>
      </c>
      <c r="E55" s="1">
        <v>1088.02</v>
      </c>
      <c r="F55" t="s">
        <v>21</v>
      </c>
      <c r="H55" s="2">
        <v>45448</v>
      </c>
    </row>
    <row r="56" spans="1:8" x14ac:dyDescent="0.25">
      <c r="A56" s="2">
        <v>45411</v>
      </c>
      <c r="B56" t="s">
        <v>10</v>
      </c>
      <c r="C56" t="s">
        <v>11</v>
      </c>
      <c r="D56" t="s">
        <v>12</v>
      </c>
      <c r="E56" s="1">
        <v>3016.81</v>
      </c>
      <c r="F56" t="s">
        <v>9</v>
      </c>
      <c r="H56" s="2">
        <v>45411</v>
      </c>
    </row>
    <row r="57" spans="1:8" x14ac:dyDescent="0.25">
      <c r="A57" s="2">
        <v>45409</v>
      </c>
      <c r="B57" t="s">
        <v>6</v>
      </c>
      <c r="C57" t="s">
        <v>7</v>
      </c>
      <c r="D57" t="s">
        <v>8</v>
      </c>
      <c r="E57" s="1">
        <v>262.14</v>
      </c>
      <c r="F57" t="s">
        <v>18</v>
      </c>
      <c r="H57" s="2">
        <v>45409</v>
      </c>
    </row>
    <row r="58" spans="1:8" x14ac:dyDescent="0.25">
      <c r="A58" s="2">
        <v>45429</v>
      </c>
      <c r="B58" t="s">
        <v>26</v>
      </c>
      <c r="C58" t="s">
        <v>27</v>
      </c>
      <c r="D58" t="s">
        <v>8</v>
      </c>
      <c r="E58" s="1">
        <v>1457.82</v>
      </c>
      <c r="F58" t="s">
        <v>18</v>
      </c>
      <c r="H58" s="2">
        <v>45429</v>
      </c>
    </row>
    <row r="59" spans="1:8" x14ac:dyDescent="0.25">
      <c r="A59" s="2">
        <v>45415</v>
      </c>
      <c r="B59" t="s">
        <v>16</v>
      </c>
      <c r="C59" t="s">
        <v>17</v>
      </c>
      <c r="D59" t="s">
        <v>12</v>
      </c>
      <c r="E59" s="1">
        <v>1625.73</v>
      </c>
      <c r="F59" t="s">
        <v>9</v>
      </c>
      <c r="H59" s="2">
        <v>45415</v>
      </c>
    </row>
    <row r="60" spans="1:8" x14ac:dyDescent="0.25">
      <c r="A60" s="2">
        <v>45376</v>
      </c>
      <c r="B60" t="s">
        <v>16</v>
      </c>
      <c r="C60" t="s">
        <v>17</v>
      </c>
      <c r="D60" t="s">
        <v>12</v>
      </c>
      <c r="E60" s="1">
        <v>2296.88</v>
      </c>
      <c r="F60" t="s">
        <v>18</v>
      </c>
      <c r="H60" s="2">
        <v>45376</v>
      </c>
    </row>
    <row r="61" spans="1:8" x14ac:dyDescent="0.25">
      <c r="A61" s="2">
        <v>45317</v>
      </c>
      <c r="B61" t="s">
        <v>16</v>
      </c>
      <c r="C61" t="s">
        <v>17</v>
      </c>
      <c r="D61" t="s">
        <v>12</v>
      </c>
      <c r="E61" s="1">
        <v>4541.6400000000003</v>
      </c>
      <c r="F61" t="s">
        <v>9</v>
      </c>
      <c r="H61" s="2">
        <v>45317</v>
      </c>
    </row>
    <row r="62" spans="1:8" x14ac:dyDescent="0.25">
      <c r="A62" s="2">
        <v>45307</v>
      </c>
      <c r="B62" t="s">
        <v>16</v>
      </c>
      <c r="C62" t="s">
        <v>17</v>
      </c>
      <c r="D62" t="s">
        <v>12</v>
      </c>
      <c r="E62" s="1">
        <v>2499.54</v>
      </c>
      <c r="F62" t="s">
        <v>18</v>
      </c>
      <c r="H62" s="2">
        <v>45307</v>
      </c>
    </row>
    <row r="63" spans="1:8" x14ac:dyDescent="0.25">
      <c r="A63" s="2">
        <v>45468</v>
      </c>
      <c r="B63" t="s">
        <v>16</v>
      </c>
      <c r="C63" t="s">
        <v>17</v>
      </c>
      <c r="D63" t="s">
        <v>12</v>
      </c>
      <c r="E63" s="1">
        <v>2643.97</v>
      </c>
      <c r="F63" t="s">
        <v>18</v>
      </c>
      <c r="H63" s="2">
        <v>45468</v>
      </c>
    </row>
    <row r="64" spans="1:8" x14ac:dyDescent="0.25">
      <c r="A64" s="2">
        <v>45471</v>
      </c>
      <c r="B64" t="s">
        <v>10</v>
      </c>
      <c r="C64" t="s">
        <v>11</v>
      </c>
      <c r="D64" t="s">
        <v>12</v>
      </c>
      <c r="E64" s="1">
        <v>1316.13</v>
      </c>
      <c r="F64" t="s">
        <v>9</v>
      </c>
      <c r="H64" s="2">
        <v>45471</v>
      </c>
    </row>
    <row r="65" spans="1:8" x14ac:dyDescent="0.25">
      <c r="A65" s="2">
        <v>45399</v>
      </c>
      <c r="B65" t="s">
        <v>10</v>
      </c>
      <c r="C65" t="s">
        <v>11</v>
      </c>
      <c r="D65" t="s">
        <v>12</v>
      </c>
      <c r="E65" s="1">
        <v>1239.9000000000001</v>
      </c>
      <c r="F65" t="s">
        <v>18</v>
      </c>
      <c r="H65" s="2">
        <v>45399</v>
      </c>
    </row>
    <row r="66" spans="1:8" x14ac:dyDescent="0.25">
      <c r="A66" s="2">
        <v>45371</v>
      </c>
      <c r="B66" t="s">
        <v>16</v>
      </c>
      <c r="C66" t="s">
        <v>17</v>
      </c>
      <c r="D66" t="s">
        <v>12</v>
      </c>
      <c r="E66" s="1">
        <v>4816.1099999999997</v>
      </c>
      <c r="F66" t="s">
        <v>21</v>
      </c>
      <c r="H66" s="2">
        <v>45371</v>
      </c>
    </row>
    <row r="67" spans="1:8" x14ac:dyDescent="0.25">
      <c r="A67" s="2">
        <v>45301</v>
      </c>
      <c r="B67" t="s">
        <v>10</v>
      </c>
      <c r="C67" t="s">
        <v>11</v>
      </c>
      <c r="D67" t="s">
        <v>12</v>
      </c>
      <c r="E67" s="1">
        <v>1663.65</v>
      </c>
      <c r="F67" t="s">
        <v>9</v>
      </c>
      <c r="H67" s="2">
        <v>45301</v>
      </c>
    </row>
    <row r="68" spans="1:8" x14ac:dyDescent="0.25">
      <c r="A68" s="2">
        <v>45401</v>
      </c>
      <c r="B68" t="s">
        <v>16</v>
      </c>
      <c r="C68" t="s">
        <v>17</v>
      </c>
      <c r="D68" t="s">
        <v>12</v>
      </c>
      <c r="E68" s="1">
        <v>4659.99</v>
      </c>
      <c r="F68" t="s">
        <v>15</v>
      </c>
      <c r="H68" s="2">
        <v>45401</v>
      </c>
    </row>
    <row r="69" spans="1:8" x14ac:dyDescent="0.25">
      <c r="A69" s="2">
        <v>45456</v>
      </c>
      <c r="B69" t="s">
        <v>13</v>
      </c>
      <c r="C69" t="s">
        <v>14</v>
      </c>
      <c r="D69" t="s">
        <v>8</v>
      </c>
      <c r="E69" s="1">
        <v>818.99</v>
      </c>
      <c r="F69" t="s">
        <v>15</v>
      </c>
      <c r="H69" s="2">
        <v>45456</v>
      </c>
    </row>
    <row r="70" spans="1:8" x14ac:dyDescent="0.25">
      <c r="A70" s="2">
        <v>45301</v>
      </c>
      <c r="B70" t="s">
        <v>10</v>
      </c>
      <c r="C70" t="s">
        <v>11</v>
      </c>
      <c r="D70" t="s">
        <v>12</v>
      </c>
      <c r="E70" s="1">
        <v>4652.9399999999996</v>
      </c>
      <c r="F70" t="s">
        <v>15</v>
      </c>
      <c r="H70" s="2">
        <v>45301</v>
      </c>
    </row>
    <row r="71" spans="1:8" x14ac:dyDescent="0.25">
      <c r="A71" s="2">
        <v>45334</v>
      </c>
      <c r="B71" t="s">
        <v>10</v>
      </c>
      <c r="C71" t="s">
        <v>11</v>
      </c>
      <c r="D71" t="s">
        <v>12</v>
      </c>
      <c r="E71" s="1">
        <v>3633.06</v>
      </c>
      <c r="F71" t="s">
        <v>9</v>
      </c>
      <c r="H71" s="2">
        <v>45334</v>
      </c>
    </row>
    <row r="72" spans="1:8" x14ac:dyDescent="0.25">
      <c r="A72" s="2">
        <v>45356</v>
      </c>
      <c r="B72" t="s">
        <v>16</v>
      </c>
      <c r="C72" t="s">
        <v>17</v>
      </c>
      <c r="D72" t="s">
        <v>12</v>
      </c>
      <c r="E72" s="1">
        <v>2835.65</v>
      </c>
      <c r="F72" t="s">
        <v>15</v>
      </c>
      <c r="H72" s="2">
        <v>45356</v>
      </c>
    </row>
    <row r="73" spans="1:8" x14ac:dyDescent="0.25">
      <c r="A73" s="2">
        <v>45404</v>
      </c>
      <c r="B73" t="s">
        <v>24</v>
      </c>
      <c r="C73" t="s">
        <v>25</v>
      </c>
      <c r="D73" t="s">
        <v>8</v>
      </c>
      <c r="E73" s="1">
        <v>227.53</v>
      </c>
      <c r="F73" t="s">
        <v>15</v>
      </c>
      <c r="H73" s="2">
        <v>45404</v>
      </c>
    </row>
    <row r="74" spans="1:8" x14ac:dyDescent="0.25">
      <c r="A74" s="2">
        <v>45445</v>
      </c>
      <c r="B74" t="s">
        <v>16</v>
      </c>
      <c r="C74" t="s">
        <v>17</v>
      </c>
      <c r="D74" t="s">
        <v>12</v>
      </c>
      <c r="E74" s="1">
        <v>3198.89</v>
      </c>
      <c r="F74" t="s">
        <v>21</v>
      </c>
      <c r="H74" s="2">
        <v>45445</v>
      </c>
    </row>
    <row r="75" spans="1:8" x14ac:dyDescent="0.25">
      <c r="A75" s="2">
        <v>45312</v>
      </c>
      <c r="B75" t="s">
        <v>22</v>
      </c>
      <c r="C75" t="s">
        <v>23</v>
      </c>
      <c r="D75" t="s">
        <v>8</v>
      </c>
      <c r="E75" s="1">
        <v>1281.75</v>
      </c>
      <c r="F75" t="s">
        <v>21</v>
      </c>
      <c r="H75" s="2">
        <v>45312</v>
      </c>
    </row>
    <row r="76" spans="1:8" x14ac:dyDescent="0.25">
      <c r="A76" s="2">
        <v>45420</v>
      </c>
      <c r="B76" t="s">
        <v>16</v>
      </c>
      <c r="C76" t="s">
        <v>17</v>
      </c>
      <c r="D76" t="s">
        <v>12</v>
      </c>
      <c r="E76" s="1">
        <v>1653.64</v>
      </c>
      <c r="F76" t="s">
        <v>21</v>
      </c>
      <c r="H76" s="2">
        <v>45420</v>
      </c>
    </row>
    <row r="77" spans="1:8" x14ac:dyDescent="0.25">
      <c r="A77" s="2">
        <v>45369</v>
      </c>
      <c r="B77" t="s">
        <v>10</v>
      </c>
      <c r="C77" t="s">
        <v>11</v>
      </c>
      <c r="D77" t="s">
        <v>12</v>
      </c>
      <c r="E77" s="1">
        <v>1664.99</v>
      </c>
      <c r="F77" t="s">
        <v>18</v>
      </c>
      <c r="H77" s="2">
        <v>45369</v>
      </c>
    </row>
    <row r="78" spans="1:8" x14ac:dyDescent="0.25">
      <c r="A78" s="2">
        <v>45457</v>
      </c>
      <c r="B78" t="s">
        <v>22</v>
      </c>
      <c r="C78" t="s">
        <v>23</v>
      </c>
      <c r="D78" t="s">
        <v>8</v>
      </c>
      <c r="E78" s="1">
        <v>1527.85</v>
      </c>
      <c r="F78" t="s">
        <v>21</v>
      </c>
      <c r="H78" s="2">
        <v>45457</v>
      </c>
    </row>
    <row r="79" spans="1:8" x14ac:dyDescent="0.25">
      <c r="A79" s="2">
        <v>45324</v>
      </c>
      <c r="B79" t="s">
        <v>26</v>
      </c>
      <c r="C79" t="s">
        <v>27</v>
      </c>
      <c r="D79" t="s">
        <v>8</v>
      </c>
      <c r="E79" s="1">
        <v>1708.92</v>
      </c>
      <c r="F79" t="s">
        <v>18</v>
      </c>
      <c r="H79" s="2">
        <v>45324</v>
      </c>
    </row>
    <row r="80" spans="1:8" x14ac:dyDescent="0.25">
      <c r="A80" s="2">
        <v>45449</v>
      </c>
      <c r="B80" t="s">
        <v>24</v>
      </c>
      <c r="C80" t="s">
        <v>25</v>
      </c>
      <c r="D80" t="s">
        <v>8</v>
      </c>
      <c r="E80" s="1">
        <v>2597.29</v>
      </c>
      <c r="F80" t="s">
        <v>18</v>
      </c>
      <c r="H80" s="2">
        <v>45449</v>
      </c>
    </row>
    <row r="81" spans="1:8" x14ac:dyDescent="0.25">
      <c r="A81" s="2">
        <v>45356</v>
      </c>
      <c r="B81" t="s">
        <v>10</v>
      </c>
      <c r="C81" t="s">
        <v>11</v>
      </c>
      <c r="D81" t="s">
        <v>12</v>
      </c>
      <c r="E81" s="1">
        <v>2138.52</v>
      </c>
      <c r="F81" t="s">
        <v>9</v>
      </c>
      <c r="H81" s="2">
        <v>45356</v>
      </c>
    </row>
    <row r="82" spans="1:8" x14ac:dyDescent="0.25">
      <c r="A82" s="2">
        <v>45350</v>
      </c>
      <c r="B82" t="s">
        <v>10</v>
      </c>
      <c r="C82" t="s">
        <v>11</v>
      </c>
      <c r="D82" t="s">
        <v>12</v>
      </c>
      <c r="E82" s="1">
        <v>3132.37</v>
      </c>
      <c r="F82" t="s">
        <v>18</v>
      </c>
      <c r="H82" s="2">
        <v>45350</v>
      </c>
    </row>
    <row r="83" spans="1:8" x14ac:dyDescent="0.25">
      <c r="A83" s="2">
        <v>45333</v>
      </c>
      <c r="B83" t="s">
        <v>24</v>
      </c>
      <c r="C83" t="s">
        <v>25</v>
      </c>
      <c r="D83" t="s">
        <v>8</v>
      </c>
      <c r="E83" s="1">
        <v>1714.24</v>
      </c>
      <c r="F83" t="s">
        <v>21</v>
      </c>
      <c r="H83" s="2">
        <v>45333</v>
      </c>
    </row>
    <row r="84" spans="1:8" x14ac:dyDescent="0.25">
      <c r="A84" s="2">
        <v>45381</v>
      </c>
      <c r="B84" t="s">
        <v>10</v>
      </c>
      <c r="C84" t="s">
        <v>11</v>
      </c>
      <c r="D84" t="s">
        <v>12</v>
      </c>
      <c r="E84" s="1">
        <v>535.79</v>
      </c>
      <c r="F84" t="s">
        <v>15</v>
      </c>
      <c r="H84" s="2">
        <v>45381</v>
      </c>
    </row>
    <row r="85" spans="1:8" x14ac:dyDescent="0.25">
      <c r="A85" s="2">
        <v>45420</v>
      </c>
      <c r="B85" t="s">
        <v>16</v>
      </c>
      <c r="C85" t="s">
        <v>17</v>
      </c>
      <c r="D85" t="s">
        <v>12</v>
      </c>
      <c r="E85" s="1">
        <v>3537.56</v>
      </c>
      <c r="F85" t="s">
        <v>9</v>
      </c>
      <c r="H85" s="2">
        <v>45420</v>
      </c>
    </row>
    <row r="86" spans="1:8" x14ac:dyDescent="0.25">
      <c r="A86" s="2">
        <v>45339</v>
      </c>
      <c r="B86" t="s">
        <v>16</v>
      </c>
      <c r="C86" t="s">
        <v>17</v>
      </c>
      <c r="D86" t="s">
        <v>12</v>
      </c>
      <c r="E86" s="1">
        <v>1944.62</v>
      </c>
      <c r="F86" t="s">
        <v>21</v>
      </c>
      <c r="H86" s="2">
        <v>45339</v>
      </c>
    </row>
    <row r="87" spans="1:8" x14ac:dyDescent="0.25">
      <c r="A87" s="2">
        <v>45326</v>
      </c>
      <c r="B87" t="s">
        <v>13</v>
      </c>
      <c r="C87" t="s">
        <v>14</v>
      </c>
      <c r="D87" t="s">
        <v>8</v>
      </c>
      <c r="E87" s="1">
        <v>2107.2199999999998</v>
      </c>
      <c r="F87" t="s">
        <v>18</v>
      </c>
      <c r="H87" s="2">
        <v>45326</v>
      </c>
    </row>
    <row r="88" spans="1:8" x14ac:dyDescent="0.25">
      <c r="A88" s="2">
        <v>45411</v>
      </c>
      <c r="B88" t="s">
        <v>10</v>
      </c>
      <c r="C88" t="s">
        <v>11</v>
      </c>
      <c r="D88" t="s">
        <v>12</v>
      </c>
      <c r="E88" s="1">
        <v>1593.91</v>
      </c>
      <c r="F88" t="s">
        <v>9</v>
      </c>
      <c r="H88" s="2">
        <v>45411</v>
      </c>
    </row>
    <row r="89" spans="1:8" x14ac:dyDescent="0.25">
      <c r="A89" s="2">
        <v>45462</v>
      </c>
      <c r="B89" t="s">
        <v>16</v>
      </c>
      <c r="C89" t="s">
        <v>17</v>
      </c>
      <c r="D89" t="s">
        <v>12</v>
      </c>
      <c r="E89" s="1">
        <v>1546.2</v>
      </c>
      <c r="F89" t="s">
        <v>15</v>
      </c>
      <c r="H89" s="2">
        <v>45462</v>
      </c>
    </row>
    <row r="90" spans="1:8" x14ac:dyDescent="0.25">
      <c r="A90" s="2">
        <v>45374</v>
      </c>
      <c r="B90" t="s">
        <v>10</v>
      </c>
      <c r="C90" t="s">
        <v>11</v>
      </c>
      <c r="D90" t="s">
        <v>12</v>
      </c>
      <c r="E90" s="1">
        <v>2630.99</v>
      </c>
      <c r="F90" t="s">
        <v>9</v>
      </c>
      <c r="H90" s="2">
        <v>45374</v>
      </c>
    </row>
    <row r="91" spans="1:8" x14ac:dyDescent="0.25">
      <c r="A91" s="2">
        <v>45356</v>
      </c>
      <c r="B91" t="s">
        <v>16</v>
      </c>
      <c r="C91" t="s">
        <v>17</v>
      </c>
      <c r="D91" t="s">
        <v>12</v>
      </c>
      <c r="E91" s="1">
        <v>3236.65</v>
      </c>
      <c r="F91" t="s">
        <v>21</v>
      </c>
      <c r="H91" s="2">
        <v>45356</v>
      </c>
    </row>
    <row r="92" spans="1:8" x14ac:dyDescent="0.25">
      <c r="A92" s="2">
        <v>45373</v>
      </c>
      <c r="B92" t="s">
        <v>6</v>
      </c>
      <c r="C92" t="s">
        <v>7</v>
      </c>
      <c r="D92" t="s">
        <v>8</v>
      </c>
      <c r="E92" s="1">
        <v>1576.61</v>
      </c>
      <c r="F92" t="s">
        <v>18</v>
      </c>
      <c r="H92" s="2">
        <v>45373</v>
      </c>
    </row>
    <row r="93" spans="1:8" x14ac:dyDescent="0.25">
      <c r="A93" s="2">
        <v>45453</v>
      </c>
      <c r="B93" t="s">
        <v>16</v>
      </c>
      <c r="C93" t="s">
        <v>17</v>
      </c>
      <c r="D93" t="s">
        <v>12</v>
      </c>
      <c r="E93" s="1">
        <v>1548.23</v>
      </c>
      <c r="F93" t="s">
        <v>18</v>
      </c>
      <c r="H93" s="2">
        <v>45453</v>
      </c>
    </row>
    <row r="94" spans="1:8" x14ac:dyDescent="0.25">
      <c r="A94" s="2">
        <v>45469</v>
      </c>
      <c r="B94" t="s">
        <v>24</v>
      </c>
      <c r="C94" t="s">
        <v>25</v>
      </c>
      <c r="D94" t="s">
        <v>8</v>
      </c>
      <c r="E94" s="1">
        <v>1200.79</v>
      </c>
      <c r="F94" t="s">
        <v>21</v>
      </c>
      <c r="H94" s="2">
        <v>45469</v>
      </c>
    </row>
    <row r="95" spans="1:8" x14ac:dyDescent="0.25">
      <c r="A95" s="2">
        <v>45297</v>
      </c>
      <c r="B95" t="s">
        <v>13</v>
      </c>
      <c r="C95" t="s">
        <v>14</v>
      </c>
      <c r="D95" t="s">
        <v>8</v>
      </c>
      <c r="E95" s="1">
        <v>2359.08</v>
      </c>
      <c r="F95" t="s">
        <v>18</v>
      </c>
      <c r="H95" s="2">
        <v>45297</v>
      </c>
    </row>
    <row r="96" spans="1:8" x14ac:dyDescent="0.25">
      <c r="A96" s="2">
        <v>45317</v>
      </c>
      <c r="B96" t="s">
        <v>10</v>
      </c>
      <c r="C96" t="s">
        <v>11</v>
      </c>
      <c r="D96" t="s">
        <v>12</v>
      </c>
      <c r="E96" s="1">
        <v>2346.23</v>
      </c>
      <c r="F96" t="s">
        <v>15</v>
      </c>
      <c r="H96" s="2">
        <v>45317</v>
      </c>
    </row>
    <row r="97" spans="1:8" x14ac:dyDescent="0.25">
      <c r="A97" s="2">
        <v>45312</v>
      </c>
      <c r="B97" t="s">
        <v>16</v>
      </c>
      <c r="C97" t="s">
        <v>17</v>
      </c>
      <c r="D97" t="s">
        <v>12</v>
      </c>
      <c r="E97" s="1">
        <v>3295.02</v>
      </c>
      <c r="F97" t="s">
        <v>15</v>
      </c>
      <c r="H97" s="2">
        <v>45312</v>
      </c>
    </row>
    <row r="98" spans="1:8" x14ac:dyDescent="0.25">
      <c r="A98" s="2">
        <v>45454</v>
      </c>
      <c r="B98" t="s">
        <v>10</v>
      </c>
      <c r="C98" t="s">
        <v>11</v>
      </c>
      <c r="D98" t="s">
        <v>12</v>
      </c>
      <c r="E98" s="1">
        <v>4673.1499999999996</v>
      </c>
      <c r="F98" t="s">
        <v>18</v>
      </c>
      <c r="H98" s="2">
        <v>45454</v>
      </c>
    </row>
    <row r="99" spans="1:8" x14ac:dyDescent="0.25">
      <c r="A99" s="2">
        <v>45353</v>
      </c>
      <c r="B99" t="s">
        <v>16</v>
      </c>
      <c r="C99" t="s">
        <v>17</v>
      </c>
      <c r="D99" t="s">
        <v>12</v>
      </c>
      <c r="E99" s="1">
        <v>2394.5</v>
      </c>
      <c r="F99" t="s">
        <v>21</v>
      </c>
      <c r="H99" s="2">
        <v>45353</v>
      </c>
    </row>
    <row r="100" spans="1:8" x14ac:dyDescent="0.25">
      <c r="A100" s="2">
        <v>45295</v>
      </c>
      <c r="B100" t="s">
        <v>10</v>
      </c>
      <c r="C100" t="s">
        <v>11</v>
      </c>
      <c r="D100" t="s">
        <v>12</v>
      </c>
      <c r="E100" s="1">
        <v>4158.91</v>
      </c>
      <c r="F100" t="s">
        <v>18</v>
      </c>
      <c r="H100" s="2">
        <v>45295</v>
      </c>
    </row>
    <row r="101" spans="1:8" x14ac:dyDescent="0.25">
      <c r="A101" s="2">
        <v>45344</v>
      </c>
      <c r="B101" t="s">
        <v>19</v>
      </c>
      <c r="C101" t="s">
        <v>20</v>
      </c>
      <c r="D101" t="s">
        <v>8</v>
      </c>
      <c r="E101" s="1">
        <v>754.09</v>
      </c>
      <c r="F101" t="s">
        <v>18</v>
      </c>
      <c r="H101" s="2">
        <v>45344</v>
      </c>
    </row>
  </sheetData>
  <conditionalFormatting sqref="D2:D101">
    <cfRule type="containsText" dxfId="9" priority="1" operator="containsText" text="Receita">
      <formula>NOT(ISERROR(SEARCH("Receita",D2)))</formula>
    </cfRule>
    <cfRule type="containsText" dxfId="8" priority="2" operator="containsText" text="Despesa">
      <formula>NOT(ISERROR(SEARCH("Despesa",D2)))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="130" zoomScaleNormal="130" workbookViewId="0">
      <selection activeCell="B10" sqref="B10"/>
    </sheetView>
  </sheetViews>
  <sheetFormatPr defaultRowHeight="15" x14ac:dyDescent="0.25"/>
  <cols>
    <col min="1" max="1" width="21.7109375" style="4" customWidth="1"/>
    <col min="2" max="2" width="18.5703125" style="4" bestFit="1" customWidth="1"/>
    <col min="3" max="3" width="18.140625" bestFit="1" customWidth="1"/>
    <col min="4" max="4" width="24.5703125" bestFit="1" customWidth="1"/>
    <col min="5" max="5" width="25.28515625" bestFit="1" customWidth="1"/>
    <col min="7" max="7" width="27.42578125" bestFit="1" customWidth="1"/>
  </cols>
  <sheetData>
    <row r="1" spans="1:5" ht="15.75" x14ac:dyDescent="0.25">
      <c r="A1" s="5" t="s">
        <v>28</v>
      </c>
      <c r="B1" s="5" t="s">
        <v>29</v>
      </c>
      <c r="C1" s="6" t="s">
        <v>30</v>
      </c>
      <c r="D1" s="6" t="s">
        <v>31</v>
      </c>
      <c r="E1" s="6" t="s">
        <v>32</v>
      </c>
    </row>
    <row r="2" spans="1:5" x14ac:dyDescent="0.25">
      <c r="A2" s="7">
        <f>SUMIF(Dados!D:D,"Receita",Dados!E:E)</f>
        <v>173147.71</v>
      </c>
      <c r="B2" s="7">
        <f>SUMIF(Dados!D:D,"Despesa",Dados!E:E)</f>
        <v>62792.179999999993</v>
      </c>
      <c r="C2" s="7">
        <f>A2-B2</f>
        <v>110355.53</v>
      </c>
      <c r="D2" s="8">
        <f>COUNTIF(Dados!D:D, "Receita")</f>
        <v>60</v>
      </c>
      <c r="E2" s="8">
        <f>COUNTIF(Dados!D:D, "Despesa")</f>
        <v>40</v>
      </c>
    </row>
    <row r="3" spans="1:5" x14ac:dyDescent="0.25">
      <c r="A3" s="7"/>
      <c r="B3" s="7"/>
      <c r="C3" s="8"/>
      <c r="D3" s="8"/>
      <c r="E3" s="8"/>
    </row>
    <row r="13" spans="1:5" ht="18.75" x14ac:dyDescent="0.3">
      <c r="D13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Análise_categoria</vt:lpstr>
      <vt:lpstr>Forma_de_pagamentos</vt:lpstr>
      <vt:lpstr>Receita_x _despesa</vt:lpstr>
      <vt:lpstr>Dados</vt:lpstr>
      <vt:lpstr>Resumo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S Souza</cp:lastModifiedBy>
  <dcterms:created xsi:type="dcterms:W3CDTF">2026-04-14T19:25:51Z</dcterms:created>
  <dcterms:modified xsi:type="dcterms:W3CDTF">2026-05-09T17:21:20Z</dcterms:modified>
</cp:coreProperties>
</file>